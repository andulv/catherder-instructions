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s100\Brukere\svein.byrknes\Documents\SVEIN- Plantedamp  AS Anders Ulveseth\Oppdrag 2026\"/>
    </mc:Choice>
  </mc:AlternateContent>
  <xr:revisionPtr revIDLastSave="0" documentId="8_{0F9D0DFF-AE8C-4ADA-BEA8-0478FA21CFB9}" xr6:coauthVersionLast="47" xr6:coauthVersionMax="47" xr10:uidLastSave="{00000000-0000-0000-0000-000000000000}"/>
  <bookViews>
    <workbookView xWindow="-120" yWindow="-120" windowWidth="57840" windowHeight="17640" activeTab="1" xr2:uid="{00000000-000D-0000-FFFF-FFFF00000000}"/>
  </bookViews>
  <sheets>
    <sheet name="MOT OPPRINNELIGE TALL " sheetId="4" r:id="rId1"/>
    <sheet name="NØKKELTALL OVERORDNET AVTALE " sheetId="3" r:id="rId2"/>
    <sheet name="PLANTEDAMP AS 2022-2025" sheetId="2" r:id="rId3"/>
    <sheet name="GRO PRO AS 2024 OG 2025 " sheetId="1" r:id="rId4"/>
  </sheets>
  <definedNames>
    <definedName name="_xlnm._FilterDatabase" localSheetId="3" hidden="1">'GRO PRO AS 2024 OG 2025 '!$A$11:$X$51</definedName>
    <definedName name="_xlnm._FilterDatabase" localSheetId="2" hidden="1">'PLANTEDAMP AS 2022-2025'!$A$10:$AB$118</definedName>
    <definedName name="_xlnm.Print_Area" localSheetId="0">'MOT OPPRINNELIGE TALL '!$A$1:$J$24</definedName>
    <definedName name="_xlnm.Print_Area" localSheetId="1">'NØKKELTALL OVERORDNET AVTALE '!$A$1:$R$36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4" l="1"/>
  <c r="C15" i="4"/>
  <c r="A1" i="4"/>
  <c r="I14" i="4"/>
  <c r="I5" i="4"/>
  <c r="F6" i="4"/>
  <c r="G5" i="4"/>
  <c r="B7" i="4"/>
  <c r="B6" i="4" s="1"/>
  <c r="C14" i="4"/>
  <c r="C13" i="4"/>
  <c r="C7" i="4"/>
  <c r="D7" i="4" s="1"/>
  <c r="E7" i="4" s="1"/>
  <c r="C12" i="4"/>
  <c r="I116" i="2"/>
  <c r="C5" i="4"/>
  <c r="C6" i="4" s="1"/>
  <c r="D6" i="4" s="1"/>
  <c r="E6" i="4" s="1"/>
  <c r="H5" i="4"/>
  <c r="H14" i="4"/>
  <c r="D5" i="4"/>
  <c r="E5" i="4" s="1"/>
  <c r="D12" i="4"/>
  <c r="E12" i="4" s="1"/>
  <c r="D13" i="4"/>
  <c r="E13" i="4" s="1"/>
  <c r="D14" i="4"/>
  <c r="E14" i="4" s="1"/>
  <c r="X15" i="2"/>
  <c r="G23" i="1"/>
  <c r="G31" i="1"/>
  <c r="B1" i="2"/>
  <c r="B1" i="1"/>
  <c r="O11" i="3"/>
  <c r="O12" i="3"/>
  <c r="O10" i="3"/>
  <c r="N13" i="3"/>
  <c r="B18" i="3"/>
  <c r="N18" i="3" s="1"/>
  <c r="B12" i="3"/>
  <c r="I10" i="1"/>
  <c r="F34" i="1"/>
  <c r="H34" i="1" s="1"/>
  <c r="K34" i="1" s="1"/>
  <c r="J34" i="1"/>
  <c r="L34" i="1" s="1"/>
  <c r="V16" i="1"/>
  <c r="V17" i="1"/>
  <c r="V18" i="1"/>
  <c r="V19" i="1"/>
  <c r="V20" i="1"/>
  <c r="V21" i="1"/>
  <c r="T23" i="1"/>
  <c r="F13" i="1"/>
  <c r="H13" i="1" s="1"/>
  <c r="G13" i="4" s="1"/>
  <c r="H13" i="4" s="1"/>
  <c r="I13" i="4" s="1"/>
  <c r="G25" i="1"/>
  <c r="I33" i="2"/>
  <c r="H58" i="2"/>
  <c r="J58" i="2" s="1"/>
  <c r="O58" i="2" s="1"/>
  <c r="N58" i="2"/>
  <c r="M58" i="2"/>
  <c r="L58" i="2"/>
  <c r="P58" i="2" s="1"/>
  <c r="H108" i="2"/>
  <c r="J108" i="2" s="1"/>
  <c r="O108" i="2" s="1"/>
  <c r="N108" i="2"/>
  <c r="M108" i="2"/>
  <c r="L108" i="2"/>
  <c r="P108" i="2" s="1"/>
  <c r="AA16" i="2"/>
  <c r="H16" i="2"/>
  <c r="J16" i="2" s="1"/>
  <c r="Q16" i="2" s="1"/>
  <c r="Y16" i="2" s="1"/>
  <c r="J73" i="2"/>
  <c r="J74" i="2"/>
  <c r="H14" i="2"/>
  <c r="J14" i="2" s="1"/>
  <c r="Q14" i="2" s="1"/>
  <c r="X9" i="2"/>
  <c r="AA28" i="2"/>
  <c r="AA29" i="2"/>
  <c r="AA30" i="2"/>
  <c r="AA31" i="2"/>
  <c r="AA44" i="2"/>
  <c r="AA45" i="2"/>
  <c r="AA13" i="2"/>
  <c r="W32" i="2"/>
  <c r="O74" i="2"/>
  <c r="M47" i="2"/>
  <c r="N47" i="2"/>
  <c r="M48" i="2"/>
  <c r="N48" i="2"/>
  <c r="M49" i="2"/>
  <c r="N49" i="2"/>
  <c r="M50" i="2"/>
  <c r="N50" i="2"/>
  <c r="M51" i="2"/>
  <c r="N51" i="2"/>
  <c r="M52" i="2"/>
  <c r="N52" i="2"/>
  <c r="M53" i="2"/>
  <c r="N53" i="2"/>
  <c r="M54" i="2"/>
  <c r="N54" i="2"/>
  <c r="M55" i="2"/>
  <c r="N55" i="2"/>
  <c r="M56" i="2"/>
  <c r="N56" i="2"/>
  <c r="M57" i="2"/>
  <c r="N57" i="2"/>
  <c r="M59" i="2"/>
  <c r="N59" i="2"/>
  <c r="M60" i="2"/>
  <c r="N60" i="2"/>
  <c r="M61" i="2"/>
  <c r="N61" i="2"/>
  <c r="M62" i="2"/>
  <c r="N62" i="2"/>
  <c r="M63" i="2"/>
  <c r="N63" i="2"/>
  <c r="M64" i="2"/>
  <c r="N64" i="2"/>
  <c r="M65" i="2"/>
  <c r="N65" i="2"/>
  <c r="M66" i="2"/>
  <c r="N66" i="2"/>
  <c r="M67" i="2"/>
  <c r="N67" i="2"/>
  <c r="M68" i="2"/>
  <c r="N68" i="2"/>
  <c r="M69" i="2"/>
  <c r="N69" i="2"/>
  <c r="M70" i="2"/>
  <c r="N70" i="2"/>
  <c r="M71" i="2"/>
  <c r="N71" i="2"/>
  <c r="M72" i="2"/>
  <c r="N72" i="2"/>
  <c r="M73" i="2"/>
  <c r="N73" i="2"/>
  <c r="M74" i="2"/>
  <c r="N74" i="2"/>
  <c r="M75" i="2"/>
  <c r="N75" i="2"/>
  <c r="M76" i="2"/>
  <c r="N76" i="2"/>
  <c r="M77" i="2"/>
  <c r="N77" i="2"/>
  <c r="M78" i="2"/>
  <c r="N78" i="2"/>
  <c r="M79" i="2"/>
  <c r="N79" i="2"/>
  <c r="M80" i="2"/>
  <c r="N80" i="2"/>
  <c r="M81" i="2"/>
  <c r="N81" i="2"/>
  <c r="M82" i="2"/>
  <c r="N82" i="2"/>
  <c r="M83" i="2"/>
  <c r="N83" i="2"/>
  <c r="M84" i="2"/>
  <c r="N84" i="2"/>
  <c r="M85" i="2"/>
  <c r="N85" i="2"/>
  <c r="M86" i="2"/>
  <c r="N86" i="2"/>
  <c r="M87" i="2"/>
  <c r="N87" i="2"/>
  <c r="M88" i="2"/>
  <c r="N88" i="2"/>
  <c r="M89" i="2"/>
  <c r="N89" i="2"/>
  <c r="M90" i="2"/>
  <c r="N90" i="2"/>
  <c r="M91" i="2"/>
  <c r="N91" i="2"/>
  <c r="M92" i="2"/>
  <c r="N92" i="2"/>
  <c r="M93" i="2"/>
  <c r="N93" i="2"/>
  <c r="M94" i="2"/>
  <c r="N94" i="2"/>
  <c r="M95" i="2"/>
  <c r="N95" i="2"/>
  <c r="M96" i="2"/>
  <c r="N96" i="2"/>
  <c r="M97" i="2"/>
  <c r="N97" i="2"/>
  <c r="M98" i="2"/>
  <c r="N98" i="2"/>
  <c r="M99" i="2"/>
  <c r="N99" i="2"/>
  <c r="M100" i="2"/>
  <c r="N100" i="2"/>
  <c r="M101" i="2"/>
  <c r="N101" i="2"/>
  <c r="M102" i="2"/>
  <c r="N102" i="2"/>
  <c r="M103" i="2"/>
  <c r="N103" i="2"/>
  <c r="M104" i="2"/>
  <c r="N104" i="2"/>
  <c r="M105" i="2"/>
  <c r="N105" i="2"/>
  <c r="M106" i="2"/>
  <c r="N106" i="2"/>
  <c r="M107" i="2"/>
  <c r="N107" i="2"/>
  <c r="M109" i="2"/>
  <c r="N109" i="2"/>
  <c r="M110" i="2"/>
  <c r="N110" i="2"/>
  <c r="M111" i="2"/>
  <c r="N111" i="2"/>
  <c r="M112" i="2"/>
  <c r="N112" i="2"/>
  <c r="M113" i="2"/>
  <c r="N113" i="2"/>
  <c r="M114" i="2"/>
  <c r="N114" i="2"/>
  <c r="M115" i="2"/>
  <c r="N115" i="2"/>
  <c r="M116" i="2"/>
  <c r="N116" i="2"/>
  <c r="L48" i="2"/>
  <c r="L49" i="2"/>
  <c r="L50" i="2"/>
  <c r="L51" i="2"/>
  <c r="L52" i="2"/>
  <c r="L53" i="2"/>
  <c r="L54" i="2"/>
  <c r="L55" i="2"/>
  <c r="L56" i="2"/>
  <c r="L57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P74" i="2" s="1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9" i="2"/>
  <c r="L110" i="2"/>
  <c r="L111" i="2"/>
  <c r="L112" i="2"/>
  <c r="L113" i="2"/>
  <c r="L114" i="2"/>
  <c r="L115" i="2"/>
  <c r="L116" i="2"/>
  <c r="L47" i="2"/>
  <c r="L2" i="2" s="1"/>
  <c r="H112" i="2"/>
  <c r="J112" i="2" s="1"/>
  <c r="O112" i="2" s="1"/>
  <c r="H117" i="2"/>
  <c r="H116" i="2"/>
  <c r="J116" i="2" s="1"/>
  <c r="O116" i="2" s="1"/>
  <c r="H102" i="2"/>
  <c r="J102" i="2" s="1"/>
  <c r="O102" i="2" s="1"/>
  <c r="H92" i="2"/>
  <c r="J92" i="2" s="1"/>
  <c r="O92" i="2" s="1"/>
  <c r="O73" i="2"/>
  <c r="H70" i="2"/>
  <c r="J70" i="2" s="1"/>
  <c r="O70" i="2" s="1"/>
  <c r="H60" i="2"/>
  <c r="J60" i="2" s="1"/>
  <c r="O60" i="2" s="1"/>
  <c r="H59" i="2"/>
  <c r="J59" i="2" s="1"/>
  <c r="O59" i="2" s="1"/>
  <c r="H101" i="2"/>
  <c r="J101" i="2" s="1"/>
  <c r="O101" i="2" s="1"/>
  <c r="H100" i="2"/>
  <c r="J100" i="2" s="1"/>
  <c r="O100" i="2" s="1"/>
  <c r="H99" i="2"/>
  <c r="J99" i="2" s="1"/>
  <c r="O99" i="2" s="1"/>
  <c r="H97" i="2"/>
  <c r="J97" i="2" s="1"/>
  <c r="O97" i="2" s="1"/>
  <c r="H95" i="2"/>
  <c r="J95" i="2" s="1"/>
  <c r="O95" i="2" s="1"/>
  <c r="H94" i="2"/>
  <c r="J94" i="2" s="1"/>
  <c r="O94" i="2" s="1"/>
  <c r="H93" i="2"/>
  <c r="J93" i="2" s="1"/>
  <c r="O93" i="2" s="1"/>
  <c r="H91" i="2"/>
  <c r="J91" i="2" s="1"/>
  <c r="O91" i="2" s="1"/>
  <c r="H90" i="2"/>
  <c r="J90" i="2" s="1"/>
  <c r="O90" i="2" s="1"/>
  <c r="H85" i="2"/>
  <c r="J85" i="2" s="1"/>
  <c r="O85" i="2" s="1"/>
  <c r="H72" i="2"/>
  <c r="J72" i="2" s="1"/>
  <c r="O72" i="2" s="1"/>
  <c r="H65" i="2"/>
  <c r="J65" i="2" s="1"/>
  <c r="O65" i="2" s="1"/>
  <c r="H21" i="2"/>
  <c r="J21" i="2" s="1"/>
  <c r="Q21" i="2" s="1"/>
  <c r="Y21" i="2" s="1"/>
  <c r="Z21" i="2" s="1"/>
  <c r="AA21" i="2" s="1"/>
  <c r="H50" i="2"/>
  <c r="J50" i="2" s="1"/>
  <c r="O50" i="2" s="1"/>
  <c r="H49" i="2"/>
  <c r="J49" i="2" s="1"/>
  <c r="O49" i="2" s="1"/>
  <c r="D9" i="2"/>
  <c r="E9" i="2"/>
  <c r="F9" i="2"/>
  <c r="G9" i="2"/>
  <c r="H12" i="2"/>
  <c r="J12" i="2" s="1"/>
  <c r="Q12" i="2" s="1"/>
  <c r="H13" i="2"/>
  <c r="J13" i="2" s="1"/>
  <c r="Q13" i="2" s="1"/>
  <c r="H15" i="2"/>
  <c r="J15" i="2" s="1"/>
  <c r="Q15" i="2" s="1"/>
  <c r="Y15" i="2" s="1"/>
  <c r="Z15" i="2" s="1"/>
  <c r="AA15" i="2" s="1"/>
  <c r="H17" i="2"/>
  <c r="J17" i="2" s="1"/>
  <c r="Q17" i="2" s="1"/>
  <c r="Y17" i="2" s="1"/>
  <c r="Z17" i="2" s="1"/>
  <c r="AA17" i="2" s="1"/>
  <c r="H18" i="2"/>
  <c r="J18" i="2" s="1"/>
  <c r="Q18" i="2" s="1"/>
  <c r="Y18" i="2" s="1"/>
  <c r="Z18" i="2" s="1"/>
  <c r="AA18" i="2" s="1"/>
  <c r="H19" i="2"/>
  <c r="J19" i="2" s="1"/>
  <c r="Q19" i="2" s="1"/>
  <c r="Y19" i="2" s="1"/>
  <c r="Z19" i="2" s="1"/>
  <c r="AA19" i="2" s="1"/>
  <c r="H20" i="2"/>
  <c r="J20" i="2" s="1"/>
  <c r="Q20" i="2" s="1"/>
  <c r="Y20" i="2" s="1"/>
  <c r="Z20" i="2" s="1"/>
  <c r="AA20" i="2" s="1"/>
  <c r="H22" i="2"/>
  <c r="J22" i="2" s="1"/>
  <c r="Q22" i="2" s="1"/>
  <c r="Y22" i="2" s="1"/>
  <c r="Z22" i="2" s="1"/>
  <c r="AA22" i="2" s="1"/>
  <c r="H23" i="2"/>
  <c r="J23" i="2" s="1"/>
  <c r="Q23" i="2" s="1"/>
  <c r="Y23" i="2" s="1"/>
  <c r="Z23" i="2" s="1"/>
  <c r="AA23" i="2" s="1"/>
  <c r="H24" i="2"/>
  <c r="J24" i="2" s="1"/>
  <c r="Q24" i="2" s="1"/>
  <c r="Y24" i="2" s="1"/>
  <c r="Z24" i="2" s="1"/>
  <c r="AA24" i="2" s="1"/>
  <c r="H25" i="2"/>
  <c r="J25" i="2" s="1"/>
  <c r="Q25" i="2" s="1"/>
  <c r="Y25" i="2" s="1"/>
  <c r="Z25" i="2" s="1"/>
  <c r="AA25" i="2" s="1"/>
  <c r="H26" i="2"/>
  <c r="J26" i="2" s="1"/>
  <c r="Q26" i="2" s="1"/>
  <c r="Y26" i="2" s="1"/>
  <c r="Z26" i="2" s="1"/>
  <c r="AA26" i="2" s="1"/>
  <c r="H27" i="2"/>
  <c r="J27" i="2" s="1"/>
  <c r="Q27" i="2" s="1"/>
  <c r="Y27" i="2" s="1"/>
  <c r="Z27" i="2" s="1"/>
  <c r="AA27" i="2" s="1"/>
  <c r="H28" i="2"/>
  <c r="J28" i="2" s="1"/>
  <c r="R28" i="2" s="1"/>
  <c r="H29" i="2"/>
  <c r="J29" i="2" s="1"/>
  <c r="R29" i="2" s="1"/>
  <c r="H30" i="2"/>
  <c r="H31" i="2"/>
  <c r="J31" i="2" s="1"/>
  <c r="R31" i="2" s="1"/>
  <c r="H32" i="2"/>
  <c r="J32" i="2" s="1"/>
  <c r="S32" i="2" s="1"/>
  <c r="H33" i="2"/>
  <c r="H34" i="2"/>
  <c r="J34" i="2" s="1"/>
  <c r="S34" i="2" s="1"/>
  <c r="Y34" i="2" s="1"/>
  <c r="Z34" i="2" s="1"/>
  <c r="AA34" i="2" s="1"/>
  <c r="H35" i="2"/>
  <c r="J35" i="2" s="1"/>
  <c r="S35" i="2" s="1"/>
  <c r="Y35" i="2" s="1"/>
  <c r="Z35" i="2" s="1"/>
  <c r="AA35" i="2" s="1"/>
  <c r="H36" i="2"/>
  <c r="J36" i="2" s="1"/>
  <c r="S36" i="2" s="1"/>
  <c r="Y36" i="2" s="1"/>
  <c r="Z36" i="2" s="1"/>
  <c r="AA36" i="2" s="1"/>
  <c r="H37" i="2"/>
  <c r="J37" i="2" s="1"/>
  <c r="S37" i="2" s="1"/>
  <c r="Y37" i="2" s="1"/>
  <c r="Z37" i="2" s="1"/>
  <c r="AA37" i="2" s="1"/>
  <c r="H38" i="2"/>
  <c r="J38" i="2" s="1"/>
  <c r="S38" i="2" s="1"/>
  <c r="Y38" i="2" s="1"/>
  <c r="Z38" i="2" s="1"/>
  <c r="AA38" i="2" s="1"/>
  <c r="H39" i="2"/>
  <c r="J39" i="2" s="1"/>
  <c r="S39" i="2" s="1"/>
  <c r="Y39" i="2" s="1"/>
  <c r="Z39" i="2" s="1"/>
  <c r="AA39" i="2" s="1"/>
  <c r="H40" i="2"/>
  <c r="J40" i="2" s="1"/>
  <c r="S40" i="2" s="1"/>
  <c r="Y40" i="2" s="1"/>
  <c r="Z40" i="2" s="1"/>
  <c r="AA40" i="2" s="1"/>
  <c r="H41" i="2"/>
  <c r="J41" i="2" s="1"/>
  <c r="S41" i="2" s="1"/>
  <c r="Y41" i="2" s="1"/>
  <c r="Z41" i="2" s="1"/>
  <c r="AA41" i="2" s="1"/>
  <c r="H42" i="2"/>
  <c r="J42" i="2" s="1"/>
  <c r="S42" i="2" s="1"/>
  <c r="Y42" i="2" s="1"/>
  <c r="Z42" i="2" s="1"/>
  <c r="AA42" i="2" s="1"/>
  <c r="H43" i="2"/>
  <c r="J43" i="2" s="1"/>
  <c r="S43" i="2" s="1"/>
  <c r="Y43" i="2" s="1"/>
  <c r="Z43" i="2" s="1"/>
  <c r="AA43" i="2" s="1"/>
  <c r="H44" i="2"/>
  <c r="J44" i="2" s="1"/>
  <c r="S44" i="2" s="1"/>
  <c r="H45" i="2"/>
  <c r="J45" i="2" s="1"/>
  <c r="S45" i="2" s="1"/>
  <c r="H46" i="2"/>
  <c r="J46" i="2" s="1"/>
  <c r="S46" i="2" s="1"/>
  <c r="Y46" i="2" s="1"/>
  <c r="Z46" i="2" s="1"/>
  <c r="AA46" i="2" s="1"/>
  <c r="H47" i="2"/>
  <c r="J47" i="2" s="1"/>
  <c r="O47" i="2" s="1"/>
  <c r="H48" i="2"/>
  <c r="J48" i="2" s="1"/>
  <c r="O48" i="2" s="1"/>
  <c r="H51" i="2"/>
  <c r="J51" i="2" s="1"/>
  <c r="O51" i="2" s="1"/>
  <c r="H52" i="2"/>
  <c r="J52" i="2" s="1"/>
  <c r="O52" i="2" s="1"/>
  <c r="H53" i="2"/>
  <c r="J53" i="2" s="1"/>
  <c r="O53" i="2" s="1"/>
  <c r="H54" i="2"/>
  <c r="J54" i="2" s="1"/>
  <c r="O54" i="2" s="1"/>
  <c r="H55" i="2"/>
  <c r="J55" i="2" s="1"/>
  <c r="O55" i="2" s="1"/>
  <c r="H56" i="2"/>
  <c r="J56" i="2" s="1"/>
  <c r="O56" i="2" s="1"/>
  <c r="H57" i="2"/>
  <c r="J57" i="2" s="1"/>
  <c r="O57" i="2" s="1"/>
  <c r="H61" i="2"/>
  <c r="J61" i="2" s="1"/>
  <c r="O61" i="2" s="1"/>
  <c r="H62" i="2"/>
  <c r="J62" i="2" s="1"/>
  <c r="O62" i="2" s="1"/>
  <c r="H63" i="2"/>
  <c r="J63" i="2" s="1"/>
  <c r="O63" i="2" s="1"/>
  <c r="H64" i="2"/>
  <c r="J64" i="2" s="1"/>
  <c r="O64" i="2" s="1"/>
  <c r="H66" i="2"/>
  <c r="J66" i="2" s="1"/>
  <c r="O66" i="2" s="1"/>
  <c r="H67" i="2"/>
  <c r="J67" i="2" s="1"/>
  <c r="O67" i="2" s="1"/>
  <c r="H68" i="2"/>
  <c r="J68" i="2" s="1"/>
  <c r="O68" i="2" s="1"/>
  <c r="H69" i="2"/>
  <c r="J69" i="2" s="1"/>
  <c r="O69" i="2" s="1"/>
  <c r="H71" i="2"/>
  <c r="J71" i="2" s="1"/>
  <c r="O71" i="2" s="1"/>
  <c r="H75" i="2"/>
  <c r="J75" i="2" s="1"/>
  <c r="O75" i="2" s="1"/>
  <c r="H76" i="2"/>
  <c r="J76" i="2" s="1"/>
  <c r="O76" i="2" s="1"/>
  <c r="H77" i="2"/>
  <c r="J77" i="2" s="1"/>
  <c r="O77" i="2" s="1"/>
  <c r="H78" i="2"/>
  <c r="J78" i="2" s="1"/>
  <c r="O78" i="2" s="1"/>
  <c r="H79" i="2"/>
  <c r="J79" i="2" s="1"/>
  <c r="O79" i="2" s="1"/>
  <c r="H80" i="2"/>
  <c r="J80" i="2" s="1"/>
  <c r="O80" i="2" s="1"/>
  <c r="H81" i="2"/>
  <c r="J81" i="2" s="1"/>
  <c r="O81" i="2" s="1"/>
  <c r="H82" i="2"/>
  <c r="J82" i="2" s="1"/>
  <c r="O82" i="2" s="1"/>
  <c r="H83" i="2"/>
  <c r="J83" i="2" s="1"/>
  <c r="O83" i="2" s="1"/>
  <c r="H84" i="2"/>
  <c r="J84" i="2" s="1"/>
  <c r="O84" i="2" s="1"/>
  <c r="H86" i="2"/>
  <c r="J86" i="2" s="1"/>
  <c r="O86" i="2" s="1"/>
  <c r="H87" i="2"/>
  <c r="J87" i="2" s="1"/>
  <c r="O87" i="2" s="1"/>
  <c r="H88" i="2"/>
  <c r="J88" i="2" s="1"/>
  <c r="O88" i="2" s="1"/>
  <c r="H89" i="2"/>
  <c r="J89" i="2" s="1"/>
  <c r="O89" i="2" s="1"/>
  <c r="H96" i="2"/>
  <c r="J96" i="2" s="1"/>
  <c r="O96" i="2" s="1"/>
  <c r="H98" i="2"/>
  <c r="J98" i="2" s="1"/>
  <c r="O98" i="2" s="1"/>
  <c r="H103" i="2"/>
  <c r="J103" i="2" s="1"/>
  <c r="O103" i="2" s="1"/>
  <c r="H104" i="2"/>
  <c r="J104" i="2" s="1"/>
  <c r="O104" i="2" s="1"/>
  <c r="H105" i="2"/>
  <c r="J105" i="2" s="1"/>
  <c r="O105" i="2" s="1"/>
  <c r="H106" i="2"/>
  <c r="J106" i="2" s="1"/>
  <c r="O106" i="2" s="1"/>
  <c r="H107" i="2"/>
  <c r="J107" i="2" s="1"/>
  <c r="O107" i="2" s="1"/>
  <c r="H109" i="2"/>
  <c r="J109" i="2" s="1"/>
  <c r="O109" i="2" s="1"/>
  <c r="H110" i="2"/>
  <c r="J110" i="2" s="1"/>
  <c r="O110" i="2" s="1"/>
  <c r="H111" i="2"/>
  <c r="J111" i="2" s="1"/>
  <c r="O111" i="2" s="1"/>
  <c r="H113" i="2"/>
  <c r="J113" i="2" s="1"/>
  <c r="O113" i="2" s="1"/>
  <c r="H114" i="2"/>
  <c r="J114" i="2" s="1"/>
  <c r="O114" i="2" s="1"/>
  <c r="H115" i="2"/>
  <c r="J115" i="2" s="1"/>
  <c r="O115" i="2" s="1"/>
  <c r="H118" i="2"/>
  <c r="J118" i="2" s="1"/>
  <c r="H11" i="2"/>
  <c r="C9" i="2"/>
  <c r="J28" i="1"/>
  <c r="J29" i="1"/>
  <c r="J30" i="1"/>
  <c r="J31" i="1"/>
  <c r="J32" i="1"/>
  <c r="J33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27" i="1"/>
  <c r="J3" i="1" s="1"/>
  <c r="F14" i="1"/>
  <c r="H14" i="1" s="1"/>
  <c r="M14" i="1" s="1"/>
  <c r="U14" i="1" s="1"/>
  <c r="F15" i="1"/>
  <c r="H15" i="1" s="1"/>
  <c r="M15" i="1" s="1"/>
  <c r="U15" i="1" s="1"/>
  <c r="V15" i="1" s="1"/>
  <c r="F16" i="1"/>
  <c r="H16" i="1" s="1"/>
  <c r="M16" i="1" s="1"/>
  <c r="F17" i="1"/>
  <c r="H17" i="1" s="1"/>
  <c r="N17" i="1" s="1"/>
  <c r="F18" i="1"/>
  <c r="H18" i="1" s="1"/>
  <c r="N18" i="1" s="1"/>
  <c r="P18" i="1" s="1"/>
  <c r="S18" i="1" s="1"/>
  <c r="F19" i="1"/>
  <c r="H19" i="1" s="1"/>
  <c r="N19" i="1" s="1"/>
  <c r="F20" i="1"/>
  <c r="H20" i="1" s="1"/>
  <c r="N20" i="1" s="1"/>
  <c r="P20" i="1" s="1"/>
  <c r="S20" i="1" s="1"/>
  <c r="F21" i="1"/>
  <c r="F22" i="1"/>
  <c r="H22" i="1" s="1"/>
  <c r="O22" i="1" s="1"/>
  <c r="F23" i="1"/>
  <c r="F24" i="1"/>
  <c r="H24" i="1" s="1"/>
  <c r="O24" i="1" s="1"/>
  <c r="U24" i="1" s="1"/>
  <c r="V24" i="1" s="1"/>
  <c r="W24" i="1" s="1"/>
  <c r="F25" i="1"/>
  <c r="H25" i="1" s="1"/>
  <c r="O25" i="1" s="1"/>
  <c r="U25" i="1" s="1"/>
  <c r="V25" i="1" s="1"/>
  <c r="W25" i="1" s="1"/>
  <c r="F26" i="1"/>
  <c r="H26" i="1" s="1"/>
  <c r="O26" i="1" s="1"/>
  <c r="U26" i="1" s="1"/>
  <c r="V26" i="1" s="1"/>
  <c r="W26" i="1" s="1"/>
  <c r="F27" i="1"/>
  <c r="H27" i="1" s="1"/>
  <c r="F28" i="1"/>
  <c r="H28" i="1" s="1"/>
  <c r="K28" i="1" s="1"/>
  <c r="F29" i="1"/>
  <c r="H29" i="1" s="1"/>
  <c r="K29" i="1" s="1"/>
  <c r="F30" i="1"/>
  <c r="H30" i="1" s="1"/>
  <c r="K30" i="1" s="1"/>
  <c r="F31" i="1"/>
  <c r="H31" i="1" s="1"/>
  <c r="K31" i="1" s="1"/>
  <c r="L31" i="1" s="1"/>
  <c r="F32" i="1"/>
  <c r="H32" i="1" s="1"/>
  <c r="K32" i="1" s="1"/>
  <c r="F33" i="1"/>
  <c r="H33" i="1" s="1"/>
  <c r="K33" i="1" s="1"/>
  <c r="L33" i="1" s="1"/>
  <c r="F35" i="1"/>
  <c r="H35" i="1" s="1"/>
  <c r="K35" i="1" s="1"/>
  <c r="F36" i="1"/>
  <c r="H36" i="1" s="1"/>
  <c r="K36" i="1" s="1"/>
  <c r="F37" i="1"/>
  <c r="H37" i="1" s="1"/>
  <c r="K37" i="1" s="1"/>
  <c r="F38" i="1"/>
  <c r="H38" i="1" s="1"/>
  <c r="K38" i="1" s="1"/>
  <c r="F39" i="1"/>
  <c r="H39" i="1" s="1"/>
  <c r="K39" i="1" s="1"/>
  <c r="F40" i="1"/>
  <c r="H40" i="1" s="1"/>
  <c r="K40" i="1" s="1"/>
  <c r="F41" i="1"/>
  <c r="H41" i="1" s="1"/>
  <c r="F42" i="1"/>
  <c r="H42" i="1" s="1"/>
  <c r="K42" i="1" s="1"/>
  <c r="F43" i="1"/>
  <c r="H43" i="1" s="1"/>
  <c r="K43" i="1" s="1"/>
  <c r="F44" i="1"/>
  <c r="H44" i="1" s="1"/>
  <c r="K44" i="1" s="1"/>
  <c r="F45" i="1"/>
  <c r="H45" i="1" s="1"/>
  <c r="K45" i="1" s="1"/>
  <c r="F46" i="1"/>
  <c r="H46" i="1" s="1"/>
  <c r="K46" i="1" s="1"/>
  <c r="F47" i="1"/>
  <c r="H47" i="1" s="1"/>
  <c r="K47" i="1" s="1"/>
  <c r="F48" i="1"/>
  <c r="H48" i="1" s="1"/>
  <c r="K48" i="1" s="1"/>
  <c r="F49" i="1"/>
  <c r="H49" i="1" s="1"/>
  <c r="K49" i="1" s="1"/>
  <c r="F50" i="1"/>
  <c r="H50" i="1" s="1"/>
  <c r="K50" i="1" s="1"/>
  <c r="F51" i="1"/>
  <c r="F12" i="1"/>
  <c r="T10" i="1"/>
  <c r="D10" i="1"/>
  <c r="E10" i="1"/>
  <c r="F10" i="1"/>
  <c r="C10" i="1"/>
  <c r="S19" i="1"/>
  <c r="S21" i="1"/>
  <c r="H12" i="1"/>
  <c r="J4" i="1" l="1"/>
  <c r="J5" i="1" s="1"/>
  <c r="J6" i="1" s="1"/>
  <c r="J7" i="1"/>
  <c r="K4" i="1"/>
  <c r="J8" i="1"/>
  <c r="M2" i="2"/>
  <c r="N2" i="2"/>
  <c r="M3" i="2"/>
  <c r="N3" i="2"/>
  <c r="M6" i="2"/>
  <c r="M7" i="2" s="1"/>
  <c r="N6" i="2"/>
  <c r="N7" i="2" s="1"/>
  <c r="L3" i="2"/>
  <c r="L4" i="2" s="1"/>
  <c r="L5" i="2" s="1"/>
  <c r="L6" i="2"/>
  <c r="O2" i="2"/>
  <c r="O3" i="2"/>
  <c r="O6" i="2"/>
  <c r="O7" i="2" s="1"/>
  <c r="M4" i="2"/>
  <c r="M5" i="2" s="1"/>
  <c r="N4" i="2"/>
  <c r="N5" i="2" s="1"/>
  <c r="L7" i="2"/>
  <c r="O4" i="2"/>
  <c r="O5" i="2" s="1"/>
  <c r="D12" i="3"/>
  <c r="N12" i="3"/>
  <c r="E12" i="3"/>
  <c r="M12" i="3"/>
  <c r="L12" i="3"/>
  <c r="K12" i="3"/>
  <c r="F18" i="3"/>
  <c r="I18" i="3" s="1"/>
  <c r="E18" i="3"/>
  <c r="H18" i="3" s="1"/>
  <c r="C18" i="3"/>
  <c r="O18" i="3" s="1"/>
  <c r="M12" i="1"/>
  <c r="J33" i="2"/>
  <c r="S33" i="2" s="1"/>
  <c r="Y33" i="2" s="1"/>
  <c r="Z33" i="2" s="1"/>
  <c r="AA33" i="2" s="1"/>
  <c r="H9" i="2"/>
  <c r="J11" i="2"/>
  <c r="Q11" i="2" s="1"/>
  <c r="W15" i="1"/>
  <c r="H23" i="1"/>
  <c r="O23" i="1" s="1"/>
  <c r="U23" i="1" s="1"/>
  <c r="V23" i="1"/>
  <c r="M13" i="1"/>
  <c r="U13" i="1"/>
  <c r="W13" i="1" s="1"/>
  <c r="L28" i="1"/>
  <c r="L29" i="1"/>
  <c r="L30" i="1"/>
  <c r="L32" i="1"/>
  <c r="L35" i="1"/>
  <c r="L36" i="1"/>
  <c r="L37" i="1"/>
  <c r="L38" i="1"/>
  <c r="L39" i="1"/>
  <c r="L40" i="1"/>
  <c r="L42" i="1"/>
  <c r="L43" i="1"/>
  <c r="L44" i="1"/>
  <c r="L45" i="1"/>
  <c r="L46" i="1"/>
  <c r="L47" i="1"/>
  <c r="L48" i="1"/>
  <c r="L49" i="1"/>
  <c r="L50" i="1"/>
  <c r="J10" i="1"/>
  <c r="Y14" i="2"/>
  <c r="AA14" i="2"/>
  <c r="Q9" i="2"/>
  <c r="B5" i="3" s="1"/>
  <c r="Y12" i="2"/>
  <c r="AA12" i="2" s="1"/>
  <c r="M9" i="2"/>
  <c r="N9" i="2"/>
  <c r="P48" i="2"/>
  <c r="P49" i="2"/>
  <c r="P50" i="2"/>
  <c r="P51" i="2"/>
  <c r="P52" i="2"/>
  <c r="P53" i="2"/>
  <c r="P54" i="2"/>
  <c r="P55" i="2"/>
  <c r="P56" i="2"/>
  <c r="P57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9" i="2"/>
  <c r="P110" i="2"/>
  <c r="P111" i="2"/>
  <c r="P112" i="2"/>
  <c r="P113" i="2"/>
  <c r="P114" i="2"/>
  <c r="P115" i="2"/>
  <c r="P116" i="2"/>
  <c r="O9" i="2"/>
  <c r="L9" i="2"/>
  <c r="P47" i="2"/>
  <c r="T28" i="2"/>
  <c r="B7" i="3" s="1"/>
  <c r="S9" i="2"/>
  <c r="B22" i="3" s="1"/>
  <c r="Y32" i="2"/>
  <c r="Z32" i="2" s="1"/>
  <c r="V44" i="2"/>
  <c r="B11" i="3" s="1"/>
  <c r="Y44" i="2"/>
  <c r="V45" i="2"/>
  <c r="Y45" i="2"/>
  <c r="Y9" i="2"/>
  <c r="O10" i="1"/>
  <c r="C22" i="3" s="1"/>
  <c r="P17" i="1"/>
  <c r="U12" i="1"/>
  <c r="W12" i="1" s="1"/>
  <c r="M10" i="1"/>
  <c r="C5" i="3" s="1"/>
  <c r="K41" i="1"/>
  <c r="K27" i="1"/>
  <c r="U22" i="1"/>
  <c r="R22" i="1"/>
  <c r="L4" i="1" l="1"/>
  <c r="G22" i="3"/>
  <c r="O22" i="3"/>
  <c r="O5" i="3"/>
  <c r="G5" i="3"/>
  <c r="L41" i="1"/>
  <c r="L7" i="1" s="1"/>
  <c r="K7" i="1"/>
  <c r="L27" i="1"/>
  <c r="K3" i="1"/>
  <c r="K5" i="1" s="1"/>
  <c r="K6" i="1" s="1"/>
  <c r="P3" i="2"/>
  <c r="P6" i="2"/>
  <c r="E5" i="3"/>
  <c r="F5" i="3"/>
  <c r="D5" i="3"/>
  <c r="P5" i="3" s="1"/>
  <c r="N5" i="3"/>
  <c r="P9" i="2"/>
  <c r="P2" i="2"/>
  <c r="N7" i="3"/>
  <c r="D22" i="3"/>
  <c r="P22" i="3" s="1"/>
  <c r="E22" i="3"/>
  <c r="N22" i="3"/>
  <c r="N11" i="3"/>
  <c r="D11" i="3"/>
  <c r="W45" i="2"/>
  <c r="B10" i="3"/>
  <c r="P12" i="3"/>
  <c r="P11" i="3"/>
  <c r="J22" i="3"/>
  <c r="M22" i="3"/>
  <c r="L22" i="3"/>
  <c r="K22" i="3"/>
  <c r="J5" i="3"/>
  <c r="M5" i="3"/>
  <c r="L5" i="3"/>
  <c r="K5" i="3"/>
  <c r="F22" i="3"/>
  <c r="I22" i="3" s="1"/>
  <c r="H22" i="3"/>
  <c r="G18" i="3"/>
  <c r="J18" i="3" s="1"/>
  <c r="D18" i="3"/>
  <c r="P18" i="3" s="1"/>
  <c r="I117" i="2"/>
  <c r="J117" i="2" s="1"/>
  <c r="I30" i="2"/>
  <c r="W23" i="1"/>
  <c r="W10" i="1" s="1"/>
  <c r="V10" i="1"/>
  <c r="J30" i="2"/>
  <c r="I9" i="2"/>
  <c r="Z9" i="2"/>
  <c r="AA32" i="2"/>
  <c r="AA9" i="2" s="1"/>
  <c r="T9" i="2"/>
  <c r="W28" i="2"/>
  <c r="V9" i="2"/>
  <c r="W44" i="2"/>
  <c r="P10" i="1"/>
  <c r="C7" i="3" s="1"/>
  <c r="S17" i="1"/>
  <c r="U10" i="1"/>
  <c r="K10" i="1"/>
  <c r="G7" i="4" s="1"/>
  <c r="S22" i="1"/>
  <c r="R10" i="1"/>
  <c r="C13" i="3" s="1"/>
  <c r="G6" i="4" l="1"/>
  <c r="H6" i="4" s="1"/>
  <c r="I6" i="4" s="1"/>
  <c r="H7" i="4"/>
  <c r="I7" i="4" s="1"/>
  <c r="L3" i="1"/>
  <c r="L10" i="1"/>
  <c r="K8" i="1"/>
  <c r="D7" i="3"/>
  <c r="O7" i="3"/>
  <c r="C14" i="3"/>
  <c r="D13" i="3"/>
  <c r="O13" i="3"/>
  <c r="P7" i="2"/>
  <c r="P4" i="2"/>
  <c r="P5" i="2" s="1"/>
  <c r="K11" i="3"/>
  <c r="L11" i="3"/>
  <c r="M11" i="3"/>
  <c r="F11" i="3"/>
  <c r="F14" i="3" s="1"/>
  <c r="B14" i="3"/>
  <c r="D10" i="3"/>
  <c r="N10" i="3"/>
  <c r="H5" i="3"/>
  <c r="I5" i="3"/>
  <c r="G21" i="1"/>
  <c r="G51" i="1"/>
  <c r="H51" i="1" s="1"/>
  <c r="J9" i="2"/>
  <c r="R30" i="2"/>
  <c r="B8" i="3" s="1"/>
  <c r="W9" i="2"/>
  <c r="S10" i="1"/>
  <c r="G10" i="1" l="1"/>
  <c r="L8" i="1"/>
  <c r="L5" i="1"/>
  <c r="L6" i="1" s="1"/>
  <c r="H7" i="3"/>
  <c r="I7" i="3"/>
  <c r="J7" i="3"/>
  <c r="K7" i="3"/>
  <c r="L7" i="3"/>
  <c r="M7" i="3"/>
  <c r="P7" i="3"/>
  <c r="C23" i="3"/>
  <c r="O14" i="3"/>
  <c r="K13" i="3"/>
  <c r="L13" i="3"/>
  <c r="M13" i="3"/>
  <c r="G13" i="3"/>
  <c r="G14" i="3" s="1"/>
  <c r="P13" i="3"/>
  <c r="B23" i="3"/>
  <c r="N14" i="3"/>
  <c r="E10" i="3"/>
  <c r="E14" i="3" s="1"/>
  <c r="D14" i="3"/>
  <c r="K10" i="3"/>
  <c r="L10" i="3"/>
  <c r="M10" i="3"/>
  <c r="P10" i="3"/>
  <c r="B9" i="3"/>
  <c r="E8" i="3"/>
  <c r="F8" i="3"/>
  <c r="N8" i="3"/>
  <c r="H21" i="1"/>
  <c r="H10" i="1" s="1"/>
  <c r="R9" i="2"/>
  <c r="U30" i="2"/>
  <c r="U9" i="2" s="1"/>
  <c r="O23" i="3" l="1"/>
  <c r="G23" i="3"/>
  <c r="D23" i="3"/>
  <c r="E23" i="3"/>
  <c r="N23" i="3"/>
  <c r="H14" i="3"/>
  <c r="J14" i="3"/>
  <c r="I14" i="3"/>
  <c r="K14" i="3"/>
  <c r="L14" i="3"/>
  <c r="M14" i="3"/>
  <c r="P14" i="3"/>
  <c r="H10" i="3"/>
  <c r="J13" i="3"/>
  <c r="I11" i="3"/>
  <c r="H12" i="3"/>
  <c r="E9" i="3"/>
  <c r="E16" i="3" s="1"/>
  <c r="F9" i="3"/>
  <c r="N9" i="3"/>
  <c r="B16" i="3"/>
  <c r="N21" i="1"/>
  <c r="K23" i="3" l="1"/>
  <c r="L23" i="3"/>
  <c r="M23" i="3"/>
  <c r="J23" i="3"/>
  <c r="P23" i="3"/>
  <c r="H23" i="3"/>
  <c r="F23" i="3"/>
  <c r="I23" i="3" s="1"/>
  <c r="E20" i="3"/>
  <c r="F16" i="3"/>
  <c r="B20" i="3"/>
  <c r="N20" i="3" s="1"/>
  <c r="N16" i="3"/>
  <c r="N10" i="1"/>
  <c r="G12" i="4" s="1"/>
  <c r="H12" i="4" s="1"/>
  <c r="I12" i="4" s="1"/>
  <c r="Q21" i="1"/>
  <c r="Q10" i="1" s="1"/>
  <c r="C8" i="3" s="1"/>
  <c r="D8" i="3" l="1"/>
  <c r="C9" i="3"/>
  <c r="O8" i="3"/>
  <c r="F20" i="3"/>
  <c r="P8" i="3" l="1"/>
  <c r="G8" i="3"/>
  <c r="M8" i="3"/>
  <c r="L8" i="3"/>
  <c r="K8" i="3"/>
  <c r="D9" i="3"/>
  <c r="I8" i="3"/>
  <c r="H8" i="3"/>
  <c r="C16" i="3"/>
  <c r="O9" i="3"/>
  <c r="G9" i="3" l="1"/>
  <c r="J8" i="3"/>
  <c r="H9" i="3"/>
  <c r="P9" i="3"/>
  <c r="M9" i="3"/>
  <c r="L9" i="3"/>
  <c r="K9" i="3"/>
  <c r="I9" i="3"/>
  <c r="D16" i="3"/>
  <c r="C20" i="3"/>
  <c r="O20" i="3" s="1"/>
  <c r="O16" i="3"/>
  <c r="G16" i="3" l="1"/>
  <c r="J9" i="3"/>
  <c r="I16" i="3"/>
  <c r="P16" i="3"/>
  <c r="D20" i="3"/>
  <c r="M16" i="3"/>
  <c r="L16" i="3"/>
  <c r="K16" i="3"/>
  <c r="H16" i="3"/>
  <c r="G20" i="3" l="1"/>
  <c r="J20" i="3" s="1"/>
  <c r="J16" i="3"/>
  <c r="H20" i="3"/>
  <c r="I20" i="3"/>
  <c r="P20" i="3"/>
  <c r="K20" i="3"/>
  <c r="L20" i="3"/>
  <c r="M20" i="3"/>
</calcChain>
</file>

<file path=xl/sharedStrings.xml><?xml version="1.0" encoding="utf-8"?>
<sst xmlns="http://schemas.openxmlformats.org/spreadsheetml/2006/main" count="448" uniqueCount="249">
  <si>
    <t>Kontonr</t>
  </si>
  <si>
    <t>Konto</t>
  </si>
  <si>
    <t>Avstemt til</t>
  </si>
  <si>
    <t>Varelager: Varer for videresalg, emballasje og demonstrasjonsvarer</t>
  </si>
  <si>
    <t/>
  </si>
  <si>
    <t>Kundefordringer</t>
  </si>
  <si>
    <t>Driftskonto (36062185605)</t>
  </si>
  <si>
    <t>30.11.2025</t>
  </si>
  <si>
    <t>Folio-kort (36062185613)</t>
  </si>
  <si>
    <t>Aksjekapital / Egenkapital, bundet</t>
  </si>
  <si>
    <t>Overkurs</t>
  </si>
  <si>
    <t>Stiftelsesutgifter</t>
  </si>
  <si>
    <t>Annen egenkapital</t>
  </si>
  <si>
    <t>Udekket tap</t>
  </si>
  <si>
    <t>Gjeld til eiere langsiktig</t>
  </si>
  <si>
    <t>Leverandørgjeld</t>
  </si>
  <si>
    <t>Utgående mva, høy sats</t>
  </si>
  <si>
    <t>Inngående mva, høy sats</t>
  </si>
  <si>
    <t>Oppgjørskonto mva (gjeld)</t>
  </si>
  <si>
    <t>Salgsinntekt varer, høy mva-sats</t>
  </si>
  <si>
    <t>Salgsinntekt varer, unntatt for mva</t>
  </si>
  <si>
    <t>Råvarer og halvfabrikata</t>
  </si>
  <si>
    <t>Frakt og toll ved mottak av råvarer og halvfabrikata</t>
  </si>
  <si>
    <t>Varer for videresalg</t>
  </si>
  <si>
    <t>Frakt og toll ved mottak av varer for videresalg</t>
  </si>
  <si>
    <t>Endring i varer for videresalg (kun varetelling)</t>
  </si>
  <si>
    <t>Emballasje og pakker</t>
  </si>
  <si>
    <t>Frakt, transportkostnad og forsikring ved utsending av varer</t>
  </si>
  <si>
    <t>Leie lokale</t>
  </si>
  <si>
    <t>Leie maskiner</t>
  </si>
  <si>
    <t>Verktøy og utstyr</t>
  </si>
  <si>
    <t>Møbler, interiør og annet inventar</t>
  </si>
  <si>
    <t>Programvare</t>
  </si>
  <si>
    <t>Bedriftens forbruksmateriell (ikke kontorrekvisita)</t>
  </si>
  <si>
    <t>Kontorrekvisita</t>
  </si>
  <si>
    <t>Øreavrunding</t>
  </si>
  <si>
    <t>Bank- og kortgebyr</t>
  </si>
  <si>
    <t>Annen kostnad med skattefradrag</t>
  </si>
  <si>
    <t>Annen kostnad uten skattefradrag</t>
  </si>
  <si>
    <t>Valutagevinst (agio)</t>
  </si>
  <si>
    <t>Valutatap (disagio)</t>
  </si>
  <si>
    <t>Data, telefon og andre kontormaskiner</t>
  </si>
  <si>
    <t>Overføringer udekket tap</t>
  </si>
  <si>
    <t>Bevegelse 2025</t>
  </si>
  <si>
    <t>Korreksjon 2025</t>
  </si>
  <si>
    <t>31 12 2025</t>
  </si>
  <si>
    <t xml:space="preserve">Resultat 2025 </t>
  </si>
  <si>
    <t>Eiendeler 2025</t>
  </si>
  <si>
    <t xml:space="preserve">Egenkapital </t>
  </si>
  <si>
    <t xml:space="preserve">Gjeld totalt </t>
  </si>
  <si>
    <t xml:space="preserve">Innskutt EK </t>
  </si>
  <si>
    <t xml:space="preserve">Innskutt lån </t>
  </si>
  <si>
    <t xml:space="preserve">Innskutt totalt </t>
  </si>
  <si>
    <t>SB 31 12 2024</t>
  </si>
  <si>
    <t>IB 010125</t>
  </si>
  <si>
    <t>UB 31 12 2025</t>
  </si>
  <si>
    <t xml:space="preserve">Kommentarer Svein </t>
  </si>
  <si>
    <t xml:space="preserve">Internt selskaper </t>
  </si>
  <si>
    <t xml:space="preserve">Arbeidskapital </t>
  </si>
  <si>
    <t xml:space="preserve">Res. fra etablering </t>
  </si>
  <si>
    <t xml:space="preserve">SUM FILTER UTVALG </t>
  </si>
  <si>
    <t xml:space="preserve">Dette er et lån fra aksjonær , skulle vært flyttet til lån </t>
  </si>
  <si>
    <t xml:space="preserve">Er  det laget låneavtale, betingelser må avklares </t>
  </si>
  <si>
    <t xml:space="preserve">Høye kostnader ved etablering , nettbutikk mm. </t>
  </si>
  <si>
    <t>Resultat 2024</t>
  </si>
  <si>
    <t xml:space="preserve">Res. Fra etablering </t>
  </si>
  <si>
    <t>Depositum</t>
  </si>
  <si>
    <t>Mellomregning aksjonær/deltaker</t>
  </si>
  <si>
    <t>Innkjøpte ikke mottatte varer for videresalg</t>
  </si>
  <si>
    <t>Driftskonto SPV 3626.36.30208 (36263630208)</t>
  </si>
  <si>
    <t>23.12.2025</t>
  </si>
  <si>
    <t>Oppgjør av betaling - BankAxept</t>
  </si>
  <si>
    <t>Oppgjør av betaling - Forskudd til bankkonto</t>
  </si>
  <si>
    <t>Oppgjør av betaling - Kredittkort terminal</t>
  </si>
  <si>
    <t>Mellomregning Anders Ulveseth</t>
  </si>
  <si>
    <t>Andre forskuddsbetalte driftskostnader</t>
  </si>
  <si>
    <t>Mynter og sedler</t>
  </si>
  <si>
    <t>Kassedifferanse</t>
  </si>
  <si>
    <t>Skattetrekkskonto SPV (36263687536)</t>
  </si>
  <si>
    <t>18.12.2025</t>
  </si>
  <si>
    <t>Krypto - Coinbase Commerce (KRYPTO)</t>
  </si>
  <si>
    <t>Overtidsmat</t>
  </si>
  <si>
    <t>Gjeld til eiere kortsiktig</t>
  </si>
  <si>
    <t>Betalbar skatt, ikke fastsatt</t>
  </si>
  <si>
    <t>Programvare anskaffelse</t>
  </si>
  <si>
    <t>Forskuddstrekk (skatt på lønn)</t>
  </si>
  <si>
    <t>Salgsinntekt varer, middels mva-sats</t>
  </si>
  <si>
    <t>Salgsinntekt varer, fritatt for mva</t>
  </si>
  <si>
    <t>Utgående mva, kjøp tjenester fra utlandet</t>
  </si>
  <si>
    <t>Salgsinntekt tjenester, fritatt for mva</t>
  </si>
  <si>
    <t>Utgående mva, middels sats</t>
  </si>
  <si>
    <t>Annen driftsrelatert inntekt</t>
  </si>
  <si>
    <t>Skyldig arbeidsgiveravgift</t>
  </si>
  <si>
    <t>Påløpt arbeidsgiveravgift ferielønn</t>
  </si>
  <si>
    <t>Inngående mva, kjøp tjenester fra utlandet</t>
  </si>
  <si>
    <t>Gjeld til eiere - Anders</t>
  </si>
  <si>
    <t>Skyldige feriepenger</t>
  </si>
  <si>
    <t>Innleid arbeidskraft, fremmedytelse og underentreprenør</t>
  </si>
  <si>
    <t>Andre offentlige avgifter</t>
  </si>
  <si>
    <t>Kantine, snacks og drikke til kontoret</t>
  </si>
  <si>
    <t>Annen kostnad lokaler</t>
  </si>
  <si>
    <t>Varer for videresalg, middels mva-sats</t>
  </si>
  <si>
    <t>Leie datasystemer</t>
  </si>
  <si>
    <t>Leie og leasing av transportmidler</t>
  </si>
  <si>
    <t>Lønn til ansatte</t>
  </si>
  <si>
    <t>Feriepenger</t>
  </si>
  <si>
    <t>Arbeidsgiveravgift</t>
  </si>
  <si>
    <t>Honorar annen bistand fra revisor</t>
  </si>
  <si>
    <t>Arbeidsgiveravgift av påløpte feriepenger</t>
  </si>
  <si>
    <t>Regnskapshonorar</t>
  </si>
  <si>
    <t>Advokat og juridisk bistand, med skattefradrag</t>
  </si>
  <si>
    <t>Annen frakt- og transportkostnad ved salg</t>
  </si>
  <si>
    <t>Telefon- og mobilabonnement</t>
  </si>
  <si>
    <t>Obligatorisk tjenestepensjon (OTP)</t>
  </si>
  <si>
    <t>Mobiltelefon</t>
  </si>
  <si>
    <t>Strøm og oppvarming av lokaler</t>
  </si>
  <si>
    <t>Reisegodtgjørelse, etter satser (opplysningspliktig)</t>
  </si>
  <si>
    <t>Renhold av lokaler</t>
  </si>
  <si>
    <t>Reisekostnad fra faktura eller kvittering</t>
  </si>
  <si>
    <t>Mat på reise fra faktura eller kvittering</t>
  </si>
  <si>
    <t>Annen reklamekostnad</t>
  </si>
  <si>
    <t>Representasjon, med skattefradrag (bevertning til forretningsforbindelser)</t>
  </si>
  <si>
    <t>Gave, uten skattefradrag</t>
  </si>
  <si>
    <t>Innløsergebyr ved innbetaling fra kunder</t>
  </si>
  <si>
    <t>Annet driftsmateriale</t>
  </si>
  <si>
    <t>Tap på fordringer, med skattefradrag</t>
  </si>
  <si>
    <t>Renter/provisjon kassekreditt</t>
  </si>
  <si>
    <t>Rentekostnad leverandørgjeld</t>
  </si>
  <si>
    <t>Møte, kurs, oppdatering o.l., med skattefradrag</t>
  </si>
  <si>
    <t>Internett og annen data- og telekommunikasjon</t>
  </si>
  <si>
    <t>Reklamekostnad</t>
  </si>
  <si>
    <t>Styremøte, generalforsamling og bedriftsforsamlingsmøter</t>
  </si>
  <si>
    <t>Renteinntekt bankinnskudd</t>
  </si>
  <si>
    <t>Rentekostnad, uten skattefradrag</t>
  </si>
  <si>
    <t>Annen rentekostnad</t>
  </si>
  <si>
    <t>31 12 2024</t>
  </si>
  <si>
    <t>31 12 2022</t>
  </si>
  <si>
    <t>31 12 2023</t>
  </si>
  <si>
    <t>Bev 2025</t>
  </si>
  <si>
    <t xml:space="preserve">Annen personalkostnad </t>
  </si>
  <si>
    <t xml:space="preserve">Håndverktøy </t>
  </si>
  <si>
    <t xml:space="preserve">Stiftelseskostnader </t>
  </si>
  <si>
    <t xml:space="preserve">Udekket  tap </t>
  </si>
  <si>
    <t xml:space="preserve">Overføringer annen EK </t>
  </si>
  <si>
    <t>Resultat 2022</t>
  </si>
  <si>
    <t>Resultat 2023</t>
  </si>
  <si>
    <t xml:space="preserve">Eks. int og lager </t>
  </si>
  <si>
    <t xml:space="preserve">Eks. inter med lager </t>
  </si>
  <si>
    <t xml:space="preserve">Kortsiktig lån fra Omnishop AS /Anderse </t>
  </si>
  <si>
    <t xml:space="preserve">Nedskriving varelager for ukurans </t>
  </si>
  <si>
    <t xml:space="preserve">Korrirert telleresultat </t>
  </si>
  <si>
    <t xml:space="preserve">Avsetning til tap på fordringer </t>
  </si>
  <si>
    <t xml:space="preserve">Avsetning tap på fordringer 31 12 2025 </t>
  </si>
  <si>
    <t xml:space="preserve">Endring tapsavsetning </t>
  </si>
  <si>
    <t>Tap på fordringer avsetning 311225</t>
  </si>
  <si>
    <t xml:space="preserve">Endring avsetning ukuranse </t>
  </si>
  <si>
    <t xml:space="preserve">Foreløpig beregnet skatt </t>
  </si>
  <si>
    <t xml:space="preserve">Varelagerjustering </t>
  </si>
  <si>
    <t xml:space="preserve">Overskudd til annen EK </t>
  </si>
  <si>
    <t xml:space="preserve">Diffeanse Kr 5 570, stiftelsekost mot annen Ek </t>
  </si>
  <si>
    <t xml:space="preserve">Faktura fra PD ikke bokført , er dette TALT ? </t>
  </si>
  <si>
    <t xml:space="preserve">Mva inngående faktura fra PD </t>
  </si>
  <si>
    <t>Har forutsatt at faktura PD skal tilføres lager 311225</t>
  </si>
  <si>
    <t xml:space="preserve">Nedskriving lager for ukurans </t>
  </si>
  <si>
    <t xml:space="preserve">fordring mot PD ref. fakturering overføring lager </t>
  </si>
  <si>
    <t xml:space="preserve">Eks. intern og lager </t>
  </si>
  <si>
    <t xml:space="preserve">Eks intern med lager </t>
  </si>
  <si>
    <t xml:space="preserve">Endring nedskriving for ukurans </t>
  </si>
  <si>
    <t xml:space="preserve">Salgsinntekter </t>
  </si>
  <si>
    <t xml:space="preserve">Vareforbruk </t>
  </si>
  <si>
    <t xml:space="preserve">Brutto kroner </t>
  </si>
  <si>
    <t xml:space="preserve">Brutto % </t>
  </si>
  <si>
    <t xml:space="preserve">Driftskostnader </t>
  </si>
  <si>
    <t xml:space="preserve">Driftskostnader i % av inntekter </t>
  </si>
  <si>
    <t xml:space="preserve">NØKKELTALL </t>
  </si>
  <si>
    <t xml:space="preserve">PLANTEDAMP </t>
  </si>
  <si>
    <t xml:space="preserve">TOTALT </t>
  </si>
  <si>
    <t xml:space="preserve">EIENDELER </t>
  </si>
  <si>
    <t xml:space="preserve">GRO PRO </t>
  </si>
  <si>
    <t xml:space="preserve">BOKFØRT EK </t>
  </si>
  <si>
    <t xml:space="preserve">Anders </t>
  </si>
  <si>
    <t xml:space="preserve">Yadgar </t>
  </si>
  <si>
    <t xml:space="preserve">Mitchell </t>
  </si>
  <si>
    <t>RESULTAT AKK. 31 12 2025</t>
  </si>
  <si>
    <t>INNSKUTT EGENKAPITAL pr. 31 12 2025</t>
  </si>
  <si>
    <t xml:space="preserve">Innlån fra Anders </t>
  </si>
  <si>
    <t xml:space="preserve">Innlån fra Yadgar </t>
  </si>
  <si>
    <t xml:space="preserve">Innlån fra Omnishop </t>
  </si>
  <si>
    <t xml:space="preserve">Innlån fra Mitchell </t>
  </si>
  <si>
    <t>INNLÅN FRA AKSJONÆRER 31 12 2025</t>
  </si>
  <si>
    <t xml:space="preserve">EGENKAPITAL + INNLÅN </t>
  </si>
  <si>
    <t xml:space="preserve">INTERNT MELLOMVÆRENDE SELSKAP </t>
  </si>
  <si>
    <t>GJELD TOTALT SELSKAP 31 12 2025</t>
  </si>
  <si>
    <t>GJELD EKSTERN 31 12 2025</t>
  </si>
  <si>
    <t xml:space="preserve">ANDEL AV NØKKELTALL </t>
  </si>
  <si>
    <t>PRISING BASERT PÅ 1/3</t>
  </si>
  <si>
    <t>NØKKELTALL  SELSKAPER PR. 31 12 2025</t>
  </si>
  <si>
    <t xml:space="preserve">GRUNNLAG INTERN PRISING AKSJER </t>
  </si>
  <si>
    <t xml:space="preserve">1/3 PD </t>
  </si>
  <si>
    <t xml:space="preserve">1/3 GP </t>
  </si>
  <si>
    <t xml:space="preserve">1/3 TOTALT </t>
  </si>
  <si>
    <t>NETTO INNSKUTT KAPITAL (EK- LÅN OG INTERNE MV)</t>
  </si>
  <si>
    <t xml:space="preserve">TEMA </t>
  </si>
  <si>
    <t xml:space="preserve">KOMMENTARER </t>
  </si>
  <si>
    <t xml:space="preserve">Stor skjevdeling av innskutt kapital og lån til selskapene </t>
  </si>
  <si>
    <t xml:space="preserve">Ingen har tatt ut lønn i selskapene fra etablering. Skal tema arbeidsinnsats inn i vurdering </t>
  </si>
  <si>
    <t xml:space="preserve">Skal etablert omsetning og markedsposisjoner tas inn i vurdering </t>
  </si>
  <si>
    <t xml:space="preserve">GRO PRO sitt regnskap før 2024 er feil, ikke bygget inn varebeholding 31 12 2024 </t>
  </si>
  <si>
    <t xml:space="preserve">Programvare NETTBUTIKKER . Tema bør løftes . PD har hatt minimale kostnader her AU har levert  GRO PRO har tatt all kost over driften </t>
  </si>
  <si>
    <t xml:space="preserve">Innlån fra aksjonærer bør vurderes konvertert til egenkapital , vil da spare finansielle kostnader . </t>
  </si>
  <si>
    <t xml:space="preserve">Det vil være behov for mer arbeidskapital i selskapene for å kunne ta dette videre . </t>
  </si>
  <si>
    <t xml:space="preserve">Roller, avlønning i selskapene. Når vil selskapene har evne til å betale lønn for arbeidsinnsats fra aksjonærene </t>
  </si>
  <si>
    <t xml:space="preserve">Så langt basert på frivilling dugnad , hvilken forventninger og målsettinger har eierne med investering </t>
  </si>
  <si>
    <t xml:space="preserve">Ukurans lager , se foreløpig vurdering </t>
  </si>
  <si>
    <t xml:space="preserve">Avsetning til tap på fordringer , se foreløpig vurdering </t>
  </si>
  <si>
    <t>Fremtidige roller, daglig ledelse av selskapene. Antar at alle 3 blir sittende i styre .</t>
  </si>
  <si>
    <t xml:space="preserve">Vurder å etablere et FELLES HOLDING selskap på topp, som så eier 100 % av driftsselskapene </t>
  </si>
  <si>
    <t xml:space="preserve">Låneavtaler ,betingelser , er det mulig å likestille aksjonærene med innskutt EGENKAPITAL </t>
  </si>
  <si>
    <t xml:space="preserve">Obs, regelverk skjermingsrente . Dumt å beskatte ekstra for renter når selskapets evne til å betjene renten fortløpende er begrenset ? </t>
  </si>
  <si>
    <t xml:space="preserve">Det er belastet en rente på NOK 130 998,- for innlån fra aksjonærene i Plantedamp 10,5 % rente , beregnet tilbak til oppstart </t>
  </si>
  <si>
    <t xml:space="preserve">Målsetting for selskapene 2026 -2028 , fortsatt  dugnad /hobbyvirksomhet eller klare planer om vekst og inntjening </t>
  </si>
  <si>
    <t xml:space="preserve">Har dere gjort dere opp tanker rundt budsjett 2026. Hva ligger det i synergier i case </t>
  </si>
  <si>
    <t xml:space="preserve">Ukurans er håndtert via telling og fortløpende </t>
  </si>
  <si>
    <t xml:space="preserve">Ukurans er hensyntat ved telling </t>
  </si>
  <si>
    <t>Tatt inn ekstra Kr 50 000 mot GRO PRO</t>
  </si>
  <si>
    <t xml:space="preserve">Overført lager fra PD til Gro PRO </t>
  </si>
  <si>
    <t xml:space="preserve">AU ESTIMAT </t>
  </si>
  <si>
    <t xml:space="preserve">SISTE REGNSKAP </t>
  </si>
  <si>
    <t xml:space="preserve">AVVIK </t>
  </si>
  <si>
    <t xml:space="preserve">INNTEKTER </t>
  </si>
  <si>
    <t xml:space="preserve">RESULTAT </t>
  </si>
  <si>
    <t xml:space="preserve">BALANSE </t>
  </si>
  <si>
    <t xml:space="preserve">EGENKAPITAL </t>
  </si>
  <si>
    <t xml:space="preserve">ÅRSRESULTAT </t>
  </si>
  <si>
    <t xml:space="preserve"> </t>
  </si>
  <si>
    <t xml:space="preserve">VARELAGER </t>
  </si>
  <si>
    <t xml:space="preserve">INNLÅN FRA AKSJONÆRER </t>
  </si>
  <si>
    <t xml:space="preserve">TOTALT KOST INKL.SKATT </t>
  </si>
  <si>
    <t xml:space="preserve">% </t>
  </si>
  <si>
    <t xml:space="preserve">Endring </t>
  </si>
  <si>
    <t xml:space="preserve">Sjekk oppdatert regnskap DataPro </t>
  </si>
  <si>
    <t xml:space="preserve">1. Faktura fra PD til GP vedrørende overføring av lager er hensynstatt . </t>
  </si>
  <si>
    <t xml:space="preserve">2. Har også avsatt for ytterligere overføring av lager fra PD til GP, Kr 55 000,- </t>
  </si>
  <si>
    <t xml:space="preserve">Vurder kurans lager </t>
  </si>
  <si>
    <t xml:space="preserve">Overføring av lager fra PD er med i lager </t>
  </si>
  <si>
    <t xml:space="preserve">3. Har fjernet ukurans nedskriving i begge lagre ref. samtale </t>
  </si>
  <si>
    <t xml:space="preserve">INTERNE MELLOMVÆRENDE NTO </t>
  </si>
  <si>
    <t xml:space="preserve">GP er skylding PD 31 12 2025 </t>
  </si>
  <si>
    <t xml:space="preserve">4. Netto mellomværende er nå oppdatert ti lKr 194 617,- . Har lagt på Kr 55 000,- i overføring lager som ikke er fakturert fra PD mot GP . Må faktureres . Er med i telling GP , er redusert i PD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</si>
</sst>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kr&quot;\ * #,##0_-;\-&quot;kr&quot;\ * #,##0_-;_-&quot;kr&quot;\ * &quot;-&quot;_-;_-@_-"/>
    <numFmt numFmtId="44" formatCode="_-&quot;kr&quot;\ * #,##0.00_-;\-&quot;kr&quot;\ * #,##0.00_-;_-&quot;kr&quot;\ * &quot;-&quot;??_-;_-@_-"/>
    <numFmt numFmtId="164" formatCode="_-&quot;kr&quot;\ * #,##0_-;\-&quot;kr&quot;\ * #,##0_-;_-&quot;kr&quot;\ * &quot;-&quot;??_-;_-@_-"/>
  </numFmts>
  <fonts count="11" x14ac:knownFonts="1">
    <font>
      <sz val="11"/>
      <color indexed="8"/>
      <name val="Aptos Narrow"/>
      <family val="2"/>
      <scheme val="minor"/>
    </font>
    <font>
      <b/>
      <sz val="10"/>
      <name val="Calibri"/>
    </font>
    <font>
      <sz val="10"/>
      <name val="Calibri"/>
    </font>
    <font>
      <b/>
      <sz val="10"/>
      <name val="Calibri"/>
      <family val="2"/>
    </font>
    <font>
      <sz val="10"/>
      <name val="Calibri"/>
      <family val="2"/>
    </font>
    <font>
      <sz val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4"/>
      <color indexed="8"/>
      <name val="Aptos Narrow"/>
      <family val="2"/>
      <scheme val="minor"/>
    </font>
    <font>
      <sz val="14"/>
      <color indexed="8"/>
      <name val="Aptos Narrow"/>
      <family val="2"/>
      <scheme val="minor"/>
    </font>
    <font>
      <sz val="10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23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44" fontId="2" fillId="0" borderId="1" xfId="0" applyNumberFormat="1" applyFont="1" applyBorder="1"/>
    <xf numFmtId="0" fontId="4" fillId="0" borderId="1" xfId="0" applyFont="1" applyBorder="1" applyAlignment="1">
      <alignment horizontal="left"/>
    </xf>
    <xf numFmtId="44" fontId="4" fillId="0" borderId="1" xfId="0" applyNumberFormat="1" applyFont="1" applyBorder="1"/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4" fontId="3" fillId="0" borderId="1" xfId="0" applyNumberFormat="1" applyFont="1" applyBorder="1"/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/>
    <xf numFmtId="0" fontId="3" fillId="2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6" fillId="0" borderId="5" xfId="0" applyFont="1" applyBorder="1" applyAlignment="1">
      <alignment horizontal="left"/>
    </xf>
    <xf numFmtId="44" fontId="6" fillId="0" borderId="6" xfId="0" applyNumberFormat="1" applyFont="1" applyBorder="1"/>
    <xf numFmtId="44" fontId="6" fillId="0" borderId="7" xfId="0" applyNumberFormat="1" applyFont="1" applyBorder="1"/>
    <xf numFmtId="44" fontId="6" fillId="0" borderId="8" xfId="0" applyNumberFormat="1" applyFont="1" applyBorder="1"/>
    <xf numFmtId="0" fontId="6" fillId="6" borderId="3" xfId="0" applyFont="1" applyFill="1" applyBorder="1"/>
    <xf numFmtId="44" fontId="4" fillId="0" borderId="1" xfId="0" applyNumberFormat="1" applyFont="1" applyBorder="1" applyProtection="1">
      <protection locked="0" hidden="1"/>
    </xf>
    <xf numFmtId="44" fontId="2" fillId="4" borderId="1" xfId="0" applyNumberFormat="1" applyFont="1" applyFill="1" applyBorder="1" applyProtection="1">
      <protection locked="0" hidden="1"/>
    </xf>
    <xf numFmtId="0" fontId="4" fillId="0" borderId="1" xfId="0" applyFont="1" applyBorder="1"/>
    <xf numFmtId="0" fontId="3" fillId="2" borderId="1" xfId="0" applyFont="1" applyFill="1" applyBorder="1" applyAlignment="1">
      <alignment horizontal="left"/>
    </xf>
    <xf numFmtId="44" fontId="3" fillId="4" borderId="1" xfId="0" applyNumberFormat="1" applyFont="1" applyFill="1" applyBorder="1"/>
    <xf numFmtId="0" fontId="0" fillId="0" borderId="10" xfId="0" applyBorder="1"/>
    <xf numFmtId="44" fontId="0" fillId="0" borderId="9" xfId="0" applyNumberFormat="1" applyBorder="1"/>
    <xf numFmtId="44" fontId="0" fillId="0" borderId="10" xfId="0" applyNumberFormat="1" applyBorder="1"/>
    <xf numFmtId="0" fontId="4" fillId="0" borderId="4" xfId="0" applyFont="1" applyBorder="1" applyAlignment="1">
      <alignment horizontal="left"/>
    </xf>
    <xf numFmtId="0" fontId="4" fillId="0" borderId="4" xfId="0" applyFont="1" applyBorder="1"/>
    <xf numFmtId="44" fontId="4" fillId="0" borderId="4" xfId="0" applyNumberFormat="1" applyFont="1" applyBorder="1"/>
    <xf numFmtId="44" fontId="3" fillId="4" borderId="4" xfId="0" applyNumberFormat="1" applyFont="1" applyFill="1" applyBorder="1"/>
    <xf numFmtId="0" fontId="6" fillId="0" borderId="0" xfId="0" applyFont="1" applyAlignment="1">
      <alignment horizontal="left"/>
    </xf>
    <xf numFmtId="44" fontId="6" fillId="0" borderId="2" xfId="0" applyNumberFormat="1" applyFont="1" applyBorder="1"/>
    <xf numFmtId="0" fontId="3" fillId="3" borderId="11" xfId="0" applyFont="1" applyFill="1" applyBorder="1"/>
    <xf numFmtId="0" fontId="3" fillId="3" borderId="10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6" fillId="0" borderId="13" xfId="0" applyFont="1" applyBorder="1"/>
    <xf numFmtId="44" fontId="6" fillId="0" borderId="12" xfId="0" applyNumberFormat="1" applyFont="1" applyBorder="1"/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3" fillId="5" borderId="15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0" fillId="0" borderId="20" xfId="0" applyBorder="1"/>
    <xf numFmtId="10" fontId="6" fillId="0" borderId="23" xfId="1" applyNumberFormat="1" applyFont="1" applyBorder="1"/>
    <xf numFmtId="10" fontId="6" fillId="0" borderId="24" xfId="1" applyNumberFormat="1" applyFont="1" applyBorder="1"/>
    <xf numFmtId="10" fontId="6" fillId="0" borderId="1" xfId="1" applyNumberFormat="1" applyFont="1" applyBorder="1"/>
    <xf numFmtId="10" fontId="6" fillId="0" borderId="21" xfId="1" applyNumberFormat="1" applyFont="1" applyBorder="1"/>
    <xf numFmtId="164" fontId="0" fillId="0" borderId="1" xfId="0" applyNumberFormat="1" applyBorder="1"/>
    <xf numFmtId="164" fontId="0" fillId="0" borderId="21" xfId="0" applyNumberFormat="1" applyBorder="1"/>
    <xf numFmtId="164" fontId="6" fillId="0" borderId="1" xfId="0" applyNumberFormat="1" applyFont="1" applyBorder="1"/>
    <xf numFmtId="164" fontId="6" fillId="0" borderId="21" xfId="0" applyNumberFormat="1" applyFont="1" applyBorder="1"/>
    <xf numFmtId="164" fontId="0" fillId="0" borderId="4" xfId="0" applyNumberFormat="1" applyBorder="1"/>
    <xf numFmtId="0" fontId="6" fillId="3" borderId="5" xfId="0" applyFont="1" applyFill="1" applyBorder="1" applyAlignment="1">
      <alignment horizontal="center"/>
    </xf>
    <xf numFmtId="164" fontId="0" fillId="0" borderId="32" xfId="0" applyNumberFormat="1" applyBorder="1"/>
    <xf numFmtId="0" fontId="6" fillId="0" borderId="38" xfId="0" applyFont="1" applyBorder="1"/>
    <xf numFmtId="0" fontId="0" fillId="0" borderId="21" xfId="0" applyBorder="1"/>
    <xf numFmtId="0" fontId="0" fillId="0" borderId="22" xfId="0" applyBorder="1"/>
    <xf numFmtId="0" fontId="0" fillId="0" borderId="24" xfId="0" applyBorder="1"/>
    <xf numFmtId="44" fontId="6" fillId="0" borderId="35" xfId="0" applyNumberFormat="1" applyFont="1" applyBorder="1"/>
    <xf numFmtId="0" fontId="3" fillId="2" borderId="4" xfId="0" applyFont="1" applyFill="1" applyBorder="1"/>
    <xf numFmtId="14" fontId="8" fillId="0" borderId="3" xfId="0" applyNumberFormat="1" applyFont="1" applyBorder="1" applyAlignment="1">
      <alignment horizontal="left"/>
    </xf>
    <xf numFmtId="0" fontId="8" fillId="2" borderId="3" xfId="0" applyFont="1" applyFill="1" applyBorder="1"/>
    <xf numFmtId="0" fontId="8" fillId="2" borderId="17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8" fillId="2" borderId="41" xfId="0" applyFont="1" applyFill="1" applyBorder="1"/>
    <xf numFmtId="14" fontId="8" fillId="8" borderId="37" xfId="0" applyNumberFormat="1" applyFont="1" applyFill="1" applyBorder="1" applyAlignment="1">
      <alignment horizontal="left"/>
    </xf>
    <xf numFmtId="0" fontId="9" fillId="0" borderId="28" xfId="0" applyFont="1" applyBorder="1"/>
    <xf numFmtId="0" fontId="9" fillId="0" borderId="0" xfId="0" applyFont="1"/>
    <xf numFmtId="0" fontId="9" fillId="0" borderId="14" xfId="0" applyFont="1" applyBorder="1"/>
    <xf numFmtId="0" fontId="9" fillId="0" borderId="20" xfId="0" applyFont="1" applyBorder="1"/>
    <xf numFmtId="0" fontId="9" fillId="0" borderId="1" xfId="0" applyFont="1" applyBorder="1"/>
    <xf numFmtId="0" fontId="9" fillId="0" borderId="21" xfId="0" applyFont="1" applyBorder="1"/>
    <xf numFmtId="0" fontId="9" fillId="0" borderId="38" xfId="0" applyFont="1" applyBorder="1"/>
    <xf numFmtId="0" fontId="8" fillId="2" borderId="20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5" borderId="20" xfId="0" applyFont="1" applyFill="1" applyBorder="1" applyAlignment="1">
      <alignment horizontal="center"/>
    </xf>
    <xf numFmtId="0" fontId="9" fillId="0" borderId="39" xfId="0" applyFont="1" applyBorder="1"/>
    <xf numFmtId="0" fontId="9" fillId="0" borderId="29" xfId="0" applyFont="1" applyBorder="1"/>
    <xf numFmtId="0" fontId="9" fillId="0" borderId="2" xfId="0" applyFont="1" applyBorder="1"/>
    <xf numFmtId="164" fontId="9" fillId="0" borderId="2" xfId="0" applyNumberFormat="1" applyFont="1" applyBorder="1"/>
    <xf numFmtId="164" fontId="9" fillId="0" borderId="31" xfId="0" applyNumberFormat="1" applyFont="1" applyBorder="1"/>
    <xf numFmtId="44" fontId="9" fillId="0" borderId="20" xfId="0" applyNumberFormat="1" applyFont="1" applyBorder="1"/>
    <xf numFmtId="44" fontId="9" fillId="0" borderId="1" xfId="0" applyNumberFormat="1" applyFont="1" applyBorder="1"/>
    <xf numFmtId="44" fontId="9" fillId="0" borderId="21" xfId="0" applyNumberFormat="1" applyFont="1" applyBorder="1"/>
    <xf numFmtId="0" fontId="9" fillId="0" borderId="31" xfId="0" applyFont="1" applyBorder="1"/>
    <xf numFmtId="0" fontId="8" fillId="0" borderId="3" xfId="0" applyFont="1" applyBorder="1"/>
    <xf numFmtId="164" fontId="9" fillId="0" borderId="12" xfId="0" applyNumberFormat="1" applyFont="1" applyBorder="1"/>
    <xf numFmtId="164" fontId="9" fillId="0" borderId="6" xfId="0" applyNumberFormat="1" applyFont="1" applyBorder="1"/>
    <xf numFmtId="164" fontId="9" fillId="0" borderId="7" xfId="0" applyNumberFormat="1" applyFont="1" applyBorder="1"/>
    <xf numFmtId="10" fontId="9" fillId="0" borderId="20" xfId="1" applyNumberFormat="1" applyFont="1" applyBorder="1"/>
    <xf numFmtId="10" fontId="9" fillId="0" borderId="1" xfId="1" applyNumberFormat="1" applyFont="1" applyBorder="1"/>
    <xf numFmtId="10" fontId="9" fillId="0" borderId="21" xfId="1" applyNumberFormat="1" applyFont="1" applyBorder="1"/>
    <xf numFmtId="164" fontId="8" fillId="0" borderId="20" xfId="0" applyNumberFormat="1" applyFont="1" applyBorder="1"/>
    <xf numFmtId="164" fontId="8" fillId="0" borderId="1" xfId="0" applyNumberFormat="1" applyFont="1" applyBorder="1"/>
    <xf numFmtId="164" fontId="8" fillId="0" borderId="21" xfId="0" applyNumberFormat="1" applyFont="1" applyBorder="1"/>
    <xf numFmtId="164" fontId="8" fillId="0" borderId="12" xfId="0" applyNumberFormat="1" applyFont="1" applyBorder="1"/>
    <xf numFmtId="164" fontId="8" fillId="0" borderId="6" xfId="0" applyNumberFormat="1" applyFont="1" applyBorder="1"/>
    <xf numFmtId="164" fontId="8" fillId="0" borderId="7" xfId="0" applyNumberFormat="1" applyFont="1" applyBorder="1"/>
    <xf numFmtId="0" fontId="9" fillId="0" borderId="40" xfId="0" applyFont="1" applyBorder="1"/>
    <xf numFmtId="164" fontId="9" fillId="0" borderId="30" xfId="0" applyNumberFormat="1" applyFont="1" applyBorder="1"/>
    <xf numFmtId="164" fontId="9" fillId="0" borderId="4" xfId="0" applyNumberFormat="1" applyFont="1" applyBorder="1"/>
    <xf numFmtId="164" fontId="9" fillId="0" borderId="32" xfId="0" applyNumberFormat="1" applyFont="1" applyBorder="1"/>
    <xf numFmtId="42" fontId="9" fillId="0" borderId="20" xfId="0" applyNumberFormat="1" applyFont="1" applyBorder="1"/>
    <xf numFmtId="42" fontId="9" fillId="0" borderId="1" xfId="0" applyNumberFormat="1" applyFont="1" applyBorder="1"/>
    <xf numFmtId="42" fontId="9" fillId="0" borderId="21" xfId="0" applyNumberFormat="1" applyFont="1" applyBorder="1"/>
    <xf numFmtId="164" fontId="9" fillId="0" borderId="20" xfId="0" applyNumberFormat="1" applyFont="1" applyBorder="1"/>
    <xf numFmtId="164" fontId="9" fillId="0" borderId="1" xfId="0" applyNumberFormat="1" applyFont="1" applyBorder="1"/>
    <xf numFmtId="164" fontId="9" fillId="0" borderId="21" xfId="0" applyNumberFormat="1" applyFont="1" applyBorder="1"/>
    <xf numFmtId="0" fontId="9" fillId="0" borderId="30" xfId="0" applyFont="1" applyBorder="1"/>
    <xf numFmtId="0" fontId="9" fillId="0" borderId="4" xfId="0" applyFont="1" applyBorder="1"/>
    <xf numFmtId="0" fontId="9" fillId="0" borderId="32" xfId="0" applyFont="1" applyBorder="1"/>
    <xf numFmtId="0" fontId="8" fillId="0" borderId="38" xfId="0" applyFont="1" applyBorder="1"/>
    <xf numFmtId="0" fontId="8" fillId="0" borderId="39" xfId="0" applyFont="1" applyBorder="1"/>
    <xf numFmtId="164" fontId="9" fillId="0" borderId="29" xfId="0" applyNumberFormat="1" applyFont="1" applyBorder="1"/>
    <xf numFmtId="10" fontId="9" fillId="0" borderId="29" xfId="1" applyNumberFormat="1" applyFont="1" applyBorder="1"/>
    <xf numFmtId="10" fontId="9" fillId="0" borderId="2" xfId="1" applyNumberFormat="1" applyFont="1" applyBorder="1"/>
    <xf numFmtId="10" fontId="9" fillId="0" borderId="31" xfId="1" applyNumberFormat="1" applyFont="1" applyBorder="1"/>
    <xf numFmtId="10" fontId="8" fillId="0" borderId="12" xfId="1" applyNumberFormat="1" applyFont="1" applyBorder="1"/>
    <xf numFmtId="10" fontId="8" fillId="0" borderId="6" xfId="1" applyNumberFormat="1" applyFont="1" applyBorder="1"/>
    <xf numFmtId="10" fontId="8" fillId="0" borderId="7" xfId="1" applyNumberFormat="1" applyFont="1" applyBorder="1"/>
    <xf numFmtId="10" fontId="9" fillId="0" borderId="30" xfId="1" applyNumberFormat="1" applyFont="1" applyBorder="1"/>
    <xf numFmtId="10" fontId="9" fillId="0" borderId="4" xfId="0" applyNumberFormat="1" applyFont="1" applyBorder="1"/>
    <xf numFmtId="10" fontId="9" fillId="0" borderId="32" xfId="0" applyNumberFormat="1" applyFont="1" applyBorder="1"/>
    <xf numFmtId="10" fontId="9" fillId="0" borderId="1" xfId="0" applyNumberFormat="1" applyFont="1" applyBorder="1"/>
    <xf numFmtId="10" fontId="9" fillId="0" borderId="21" xfId="0" applyNumberFormat="1" applyFont="1" applyBorder="1"/>
    <xf numFmtId="10" fontId="9" fillId="0" borderId="2" xfId="0" applyNumberFormat="1" applyFont="1" applyBorder="1"/>
    <xf numFmtId="10" fontId="9" fillId="0" borderId="31" xfId="0" applyNumberFormat="1" applyFont="1" applyBorder="1"/>
    <xf numFmtId="0" fontId="9" fillId="0" borderId="37" xfId="0" applyFont="1" applyBorder="1"/>
    <xf numFmtId="0" fontId="9" fillId="0" borderId="33" xfId="0" applyFont="1" applyBorder="1"/>
    <xf numFmtId="0" fontId="9" fillId="0" borderId="25" xfId="0" applyFont="1" applyBorder="1"/>
    <xf numFmtId="0" fontId="9" fillId="0" borderId="34" xfId="0" applyFont="1" applyBorder="1"/>
    <xf numFmtId="42" fontId="9" fillId="0" borderId="33" xfId="0" applyNumberFormat="1" applyFont="1" applyBorder="1"/>
    <xf numFmtId="42" fontId="9" fillId="0" borderId="25" xfId="0" applyNumberFormat="1" applyFont="1" applyBorder="1"/>
    <xf numFmtId="42" fontId="9" fillId="0" borderId="34" xfId="0" applyNumberFormat="1" applyFont="1" applyBorder="1"/>
    <xf numFmtId="164" fontId="9" fillId="0" borderId="33" xfId="0" applyNumberFormat="1" applyFont="1" applyBorder="1"/>
    <xf numFmtId="164" fontId="9" fillId="0" borderId="25" xfId="0" applyNumberFormat="1" applyFont="1" applyBorder="1"/>
    <xf numFmtId="164" fontId="9" fillId="0" borderId="34" xfId="0" applyNumberFormat="1" applyFont="1" applyBorder="1"/>
    <xf numFmtId="42" fontId="9" fillId="0" borderId="30" xfId="0" applyNumberFormat="1" applyFont="1" applyBorder="1"/>
    <xf numFmtId="42" fontId="9" fillId="0" borderId="4" xfId="0" applyNumberFormat="1" applyFont="1" applyBorder="1"/>
    <xf numFmtId="42" fontId="9" fillId="0" borderId="32" xfId="0" applyNumberFormat="1" applyFont="1" applyBorder="1"/>
    <xf numFmtId="42" fontId="9" fillId="0" borderId="29" xfId="0" applyNumberFormat="1" applyFont="1" applyBorder="1"/>
    <xf numFmtId="42" fontId="9" fillId="0" borderId="2" xfId="0" applyNumberFormat="1" applyFont="1" applyBorder="1"/>
    <xf numFmtId="42" fontId="9" fillId="0" borderId="31" xfId="0" applyNumberFormat="1" applyFont="1" applyBorder="1"/>
    <xf numFmtId="0" fontId="6" fillId="0" borderId="44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3" borderId="42" xfId="0" applyFont="1" applyFill="1" applyBorder="1"/>
    <xf numFmtId="0" fontId="6" fillId="0" borderId="43" xfId="0" applyFont="1" applyBorder="1"/>
    <xf numFmtId="0" fontId="10" fillId="0" borderId="4" xfId="0" applyFont="1" applyBorder="1"/>
    <xf numFmtId="44" fontId="10" fillId="0" borderId="4" xfId="0" applyNumberFormat="1" applyFont="1" applyBorder="1"/>
    <xf numFmtId="44" fontId="10" fillId="0" borderId="9" xfId="0" applyNumberFormat="1" applyFont="1" applyBorder="1"/>
    <xf numFmtId="0" fontId="10" fillId="0" borderId="1" xfId="0" applyFont="1" applyBorder="1"/>
    <xf numFmtId="44" fontId="10" fillId="0" borderId="1" xfId="0" applyNumberFormat="1" applyFont="1" applyBorder="1"/>
    <xf numFmtId="44" fontId="10" fillId="0" borderId="10" xfId="0" applyNumberFormat="1" applyFont="1" applyBorder="1"/>
    <xf numFmtId="0" fontId="10" fillId="0" borderId="10" xfId="0" applyFont="1" applyBorder="1"/>
    <xf numFmtId="44" fontId="0" fillId="3" borderId="10" xfId="0" applyNumberFormat="1" applyFill="1" applyBorder="1"/>
    <xf numFmtId="0" fontId="0" fillId="3" borderId="10" xfId="0" applyFill="1" applyBorder="1"/>
    <xf numFmtId="44" fontId="4" fillId="3" borderId="1" xfId="0" applyNumberFormat="1" applyFont="1" applyFill="1" applyBorder="1" applyProtection="1">
      <protection locked="0" hidden="1"/>
    </xf>
    <xf numFmtId="0" fontId="0" fillId="0" borderId="20" xfId="0" applyBorder="1"/>
    <xf numFmtId="0" fontId="0" fillId="0" borderId="1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8" fillId="3" borderId="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27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26" xfId="0" applyFont="1" applyFill="1" applyBorder="1" applyAlignment="1">
      <alignment horizontal="center"/>
    </xf>
    <xf numFmtId="0" fontId="8" fillId="2" borderId="27" xfId="0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41" xfId="0" applyBorder="1"/>
    <xf numFmtId="0" fontId="6" fillId="0" borderId="22" xfId="0" applyFont="1" applyBorder="1" applyAlignment="1">
      <alignment horizontal="left"/>
    </xf>
    <xf numFmtId="0" fontId="6" fillId="0" borderId="23" xfId="0" applyFont="1" applyBorder="1" applyAlignment="1">
      <alignment horizontal="left"/>
    </xf>
    <xf numFmtId="0" fontId="6" fillId="0" borderId="20" xfId="0" applyFont="1" applyBorder="1"/>
    <xf numFmtId="0" fontId="6" fillId="0" borderId="1" xfId="0" applyFont="1" applyBorder="1"/>
    <xf numFmtId="0" fontId="0" fillId="7" borderId="17" xfId="0" applyFill="1" applyBorder="1" applyAlignment="1">
      <alignment horizontal="left"/>
    </xf>
    <xf numFmtId="0" fontId="0" fillId="7" borderId="18" xfId="0" applyFill="1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7" borderId="12" xfId="0" applyFill="1" applyBorder="1" applyAlignment="1">
      <alignment horizontal="left"/>
    </xf>
    <xf numFmtId="0" fontId="0" fillId="7" borderId="6" xfId="0" applyFill="1" applyBorder="1" applyAlignment="1">
      <alignment horizontal="left"/>
    </xf>
    <xf numFmtId="0" fontId="0" fillId="0" borderId="30" xfId="0" applyBorder="1"/>
    <xf numFmtId="0" fontId="0" fillId="0" borderId="4" xfId="0" applyBorder="1"/>
    <xf numFmtId="0" fontId="0" fillId="3" borderId="1" xfId="0" applyFill="1" applyBorder="1" applyAlignment="1">
      <alignment horizontal="center"/>
    </xf>
    <xf numFmtId="42" fontId="0" fillId="0" borderId="1" xfId="0" applyNumberFormat="1" applyBorder="1"/>
    <xf numFmtId="0" fontId="6" fillId="6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44" fontId="0" fillId="0" borderId="0" xfId="0" applyNumberFormat="1"/>
    <xf numFmtId="10" fontId="0" fillId="0" borderId="1" xfId="1" applyNumberFormat="1" applyFont="1" applyBorder="1"/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6" fillId="2" borderId="18" xfId="0" applyFont="1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0" fontId="6" fillId="6" borderId="18" xfId="0" applyFont="1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0" borderId="49" xfId="0" applyBorder="1"/>
    <xf numFmtId="0" fontId="0" fillId="3" borderId="50" xfId="0" applyFill="1" applyBorder="1"/>
    <xf numFmtId="0" fontId="6" fillId="3" borderId="20" xfId="0" applyFont="1" applyFill="1" applyBorder="1"/>
    <xf numFmtId="42" fontId="0" fillId="0" borderId="23" xfId="0" applyNumberFormat="1" applyBorder="1"/>
    <xf numFmtId="14" fontId="8" fillId="9" borderId="48" xfId="0" applyNumberFormat="1" applyFont="1" applyFill="1" applyBorder="1" applyAlignment="1">
      <alignment horizontal="left"/>
    </xf>
    <xf numFmtId="0" fontId="0" fillId="0" borderId="51" xfId="0" applyBorder="1" applyAlignment="1">
      <alignment horizontal="left"/>
    </xf>
    <xf numFmtId="0" fontId="0" fillId="0" borderId="52" xfId="0" applyBorder="1" applyAlignment="1">
      <alignment horizontal="left"/>
    </xf>
    <xf numFmtId="0" fontId="0" fillId="0" borderId="36" xfId="0" applyBorder="1" applyAlignment="1">
      <alignment horizontal="left"/>
    </xf>
    <xf numFmtId="0" fontId="0" fillId="0" borderId="50" xfId="0" applyBorder="1" applyAlignment="1">
      <alignment horizontal="left"/>
    </xf>
    <xf numFmtId="0" fontId="0" fillId="0" borderId="45" xfId="0" applyBorder="1" applyAlignment="1">
      <alignment horizontal="left"/>
    </xf>
    <xf numFmtId="0" fontId="0" fillId="0" borderId="53" xfId="0" applyBorder="1" applyAlignment="1">
      <alignment horizontal="left"/>
    </xf>
    <xf numFmtId="0" fontId="0" fillId="0" borderId="54" xfId="0" applyBorder="1" applyAlignment="1">
      <alignment horizontal="left"/>
    </xf>
  </cellXfs>
  <cellStyles count="2">
    <cellStyle name="Normal" xfId="0" builtinId="0"/>
    <cellStyle name="Prosent" xfId="1" builtinId="5"/>
  </cellStyles>
  <dxfs count="165"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399FC-6C04-484D-AE1E-0ADB04637725}">
  <sheetPr>
    <pageSetUpPr fitToPage="1"/>
  </sheetPr>
  <dimension ref="A1:L24"/>
  <sheetViews>
    <sheetView workbookViewId="0">
      <selection sqref="A1:J24"/>
    </sheetView>
  </sheetViews>
  <sheetFormatPr baseColWidth="10" defaultRowHeight="15" x14ac:dyDescent="0.25"/>
  <cols>
    <col min="1" max="1" width="32.140625" customWidth="1"/>
    <col min="2" max="2" width="13.140625" bestFit="1" customWidth="1"/>
    <col min="3" max="3" width="15.7109375" bestFit="1" customWidth="1"/>
    <col min="5" max="5" width="8.28515625" bestFit="1" customWidth="1"/>
    <col min="6" max="6" width="13.140625" bestFit="1" customWidth="1"/>
    <col min="7" max="7" width="16.85546875" bestFit="1" customWidth="1"/>
    <col min="8" max="8" width="11" bestFit="1" customWidth="1"/>
    <col min="9" max="9" width="9.28515625" bestFit="1" customWidth="1"/>
    <col min="10" max="10" width="34.85546875" customWidth="1"/>
    <col min="12" max="12" width="13.5703125" bestFit="1" customWidth="1"/>
  </cols>
  <sheetData>
    <row r="1" spans="1:12" ht="18.75" x14ac:dyDescent="0.3">
      <c r="A1" s="215">
        <f>'NØKKELTALL OVERORDNET AVTALE '!A2</f>
        <v>46031</v>
      </c>
      <c r="B1" s="207" t="s">
        <v>226</v>
      </c>
      <c r="C1" s="207" t="s">
        <v>227</v>
      </c>
      <c r="D1" s="208" t="s">
        <v>228</v>
      </c>
      <c r="E1" s="208" t="s">
        <v>238</v>
      </c>
      <c r="F1" s="209" t="s">
        <v>226</v>
      </c>
      <c r="G1" s="209" t="s">
        <v>227</v>
      </c>
      <c r="H1" s="210" t="s">
        <v>228</v>
      </c>
      <c r="I1" s="208" t="s">
        <v>238</v>
      </c>
      <c r="J1" s="211"/>
    </row>
    <row r="2" spans="1:12" x14ac:dyDescent="0.25">
      <c r="A2" s="50"/>
      <c r="B2" s="201" t="s">
        <v>175</v>
      </c>
      <c r="C2" s="201" t="s">
        <v>175</v>
      </c>
      <c r="D2" s="202"/>
      <c r="E2" s="202" t="s">
        <v>239</v>
      </c>
      <c r="F2" s="200" t="s">
        <v>178</v>
      </c>
      <c r="G2" s="200" t="s">
        <v>178</v>
      </c>
      <c r="H2" s="198"/>
      <c r="I2" s="202" t="s">
        <v>239</v>
      </c>
      <c r="J2" s="212" t="s">
        <v>203</v>
      </c>
    </row>
    <row r="3" spans="1:12" x14ac:dyDescent="0.25">
      <c r="A3" s="213" t="s">
        <v>230</v>
      </c>
      <c r="B3" s="7"/>
      <c r="C3" s="7"/>
      <c r="D3" s="7"/>
      <c r="E3" s="7"/>
      <c r="F3" s="7"/>
      <c r="G3" s="7"/>
      <c r="H3" s="7"/>
      <c r="I3" s="7"/>
      <c r="J3" s="63"/>
    </row>
    <row r="4" spans="1:12" x14ac:dyDescent="0.25">
      <c r="A4" s="50"/>
      <c r="B4" s="199"/>
      <c r="C4" s="199"/>
      <c r="D4" s="199"/>
      <c r="E4" s="199"/>
      <c r="F4" s="199"/>
      <c r="G4" s="199"/>
      <c r="H4" s="199" t="s">
        <v>234</v>
      </c>
      <c r="I4" s="199"/>
      <c r="J4" s="63"/>
    </row>
    <row r="5" spans="1:12" x14ac:dyDescent="0.25">
      <c r="A5" s="50" t="s">
        <v>229</v>
      </c>
      <c r="B5" s="199">
        <v>2500000</v>
      </c>
      <c r="C5" s="199">
        <f>'PLANTEDAMP AS 2022-2025'!O2</f>
        <v>2798754.82</v>
      </c>
      <c r="D5" s="199">
        <f t="shared" ref="D5:D17" si="0">C5-B5</f>
        <v>298754.81999999983</v>
      </c>
      <c r="E5" s="204">
        <f>D5/B5</f>
        <v>0.11950192799999994</v>
      </c>
      <c r="F5" s="199">
        <v>700000</v>
      </c>
      <c r="G5" s="199">
        <f>'GRO PRO AS 2024 OG 2025 '!K3</f>
        <v>613516.26</v>
      </c>
      <c r="H5" s="199">
        <f t="shared" ref="H5:H17" si="1">G5-F5</f>
        <v>-86483.739999999991</v>
      </c>
      <c r="I5" s="204">
        <f>H5/F5</f>
        <v>-0.12354819999999998</v>
      </c>
      <c r="J5" s="63"/>
    </row>
    <row r="6" spans="1:12" x14ac:dyDescent="0.25">
      <c r="A6" s="50" t="s">
        <v>237</v>
      </c>
      <c r="B6" s="199">
        <f>B5-B7</f>
        <v>2230964</v>
      </c>
      <c r="C6" s="199">
        <f>C5-C7</f>
        <v>2597695.7999999998</v>
      </c>
      <c r="D6" s="199">
        <f t="shared" si="0"/>
        <v>366731.79999999981</v>
      </c>
      <c r="E6" s="204">
        <f t="shared" ref="E6:E7" si="2">D6/B6</f>
        <v>0.16438266148624534</v>
      </c>
      <c r="F6" s="199">
        <f>F5-F7</f>
        <v>115356</v>
      </c>
      <c r="G6" s="199">
        <f>G5-G7</f>
        <v>719088.58</v>
      </c>
      <c r="H6" s="199">
        <f t="shared" si="1"/>
        <v>603732.57999999996</v>
      </c>
      <c r="I6" s="204">
        <f t="shared" ref="I6:I7" si="3">H6/F6</f>
        <v>5.2336469711155029</v>
      </c>
      <c r="J6" s="63" t="s">
        <v>240</v>
      </c>
      <c r="L6" s="203"/>
    </row>
    <row r="7" spans="1:12" x14ac:dyDescent="0.25">
      <c r="A7" s="50" t="s">
        <v>233</v>
      </c>
      <c r="B7" s="199">
        <f>400000-130964</f>
        <v>269036</v>
      </c>
      <c r="C7" s="199">
        <f>'PLANTEDAMP AS 2022-2025'!O9</f>
        <v>201059.02000000019</v>
      </c>
      <c r="D7" s="199">
        <f t="shared" si="0"/>
        <v>-67976.979999999807</v>
      </c>
      <c r="E7" s="204">
        <f t="shared" si="2"/>
        <v>-0.25266871348072306</v>
      </c>
      <c r="F7" s="199">
        <v>584644</v>
      </c>
      <c r="G7" s="199">
        <f>'GRO PRO AS 2024 OG 2025 '!K10</f>
        <v>-105572.31999999999</v>
      </c>
      <c r="H7" s="199">
        <f t="shared" si="1"/>
        <v>-690216.32</v>
      </c>
      <c r="I7" s="204">
        <f t="shared" si="3"/>
        <v>-1.1805753928886638</v>
      </c>
      <c r="J7" s="63" t="s">
        <v>240</v>
      </c>
      <c r="L7" s="203"/>
    </row>
    <row r="8" spans="1:12" x14ac:dyDescent="0.25">
      <c r="A8" s="50" t="s">
        <v>234</v>
      </c>
      <c r="B8" s="199"/>
      <c r="C8" s="199"/>
      <c r="D8" s="199" t="s">
        <v>234</v>
      </c>
      <c r="E8" s="199"/>
      <c r="F8" s="199"/>
      <c r="G8" s="199"/>
      <c r="H8" s="199"/>
      <c r="I8" s="199"/>
      <c r="J8" s="63"/>
    </row>
    <row r="9" spans="1:12" x14ac:dyDescent="0.25">
      <c r="A9" s="50"/>
      <c r="B9" s="199"/>
      <c r="C9" s="199"/>
      <c r="D9" s="199" t="s">
        <v>234</v>
      </c>
      <c r="E9" s="199"/>
      <c r="F9" s="199"/>
      <c r="G9" s="199"/>
      <c r="H9" s="199"/>
      <c r="I9" s="199"/>
      <c r="J9" s="63"/>
    </row>
    <row r="10" spans="1:12" x14ac:dyDescent="0.25">
      <c r="A10" s="213" t="s">
        <v>231</v>
      </c>
      <c r="B10" s="199"/>
      <c r="C10" s="199"/>
      <c r="D10" s="199" t="s">
        <v>234</v>
      </c>
      <c r="E10" s="199"/>
      <c r="F10" s="199"/>
      <c r="G10" s="199"/>
      <c r="H10" s="199"/>
      <c r="I10" s="199"/>
      <c r="J10" s="63"/>
    </row>
    <row r="11" spans="1:12" x14ac:dyDescent="0.25">
      <c r="A11" s="50"/>
      <c r="B11" s="199"/>
      <c r="C11" s="199"/>
      <c r="D11" s="199" t="s">
        <v>234</v>
      </c>
      <c r="E11" s="199"/>
      <c r="F11" s="199"/>
      <c r="G11" s="199"/>
      <c r="H11" s="199"/>
      <c r="I11" s="199"/>
      <c r="J11" s="63"/>
    </row>
    <row r="12" spans="1:12" x14ac:dyDescent="0.25">
      <c r="A12" s="50" t="s">
        <v>232</v>
      </c>
      <c r="B12" s="199">
        <v>400000</v>
      </c>
      <c r="C12" s="199">
        <f>'PLANTEDAMP AS 2022-2025'!R9</f>
        <v>332022.73000000021</v>
      </c>
      <c r="D12" s="199">
        <f t="shared" si="0"/>
        <v>-67977.269999999786</v>
      </c>
      <c r="E12" s="204">
        <f>D12/B12</f>
        <v>-0.16994317499999947</v>
      </c>
      <c r="F12" s="199">
        <v>700000</v>
      </c>
      <c r="G12" s="199">
        <f>'GRO PRO AS 2024 OG 2025 '!N10</f>
        <v>69783.219999999972</v>
      </c>
      <c r="H12" s="199">
        <f t="shared" si="1"/>
        <v>-630216.78</v>
      </c>
      <c r="I12" s="204">
        <f>H12/F12</f>
        <v>-0.90030968571428571</v>
      </c>
      <c r="J12" s="63" t="s">
        <v>240</v>
      </c>
    </row>
    <row r="13" spans="1:12" x14ac:dyDescent="0.25">
      <c r="A13" s="50" t="s">
        <v>235</v>
      </c>
      <c r="B13" s="199">
        <v>1000000</v>
      </c>
      <c r="C13" s="199">
        <f>'PLANTEDAMP AS 2022-2025'!J12</f>
        <v>821605.63</v>
      </c>
      <c r="D13" s="199">
        <f t="shared" si="0"/>
        <v>-178394.37</v>
      </c>
      <c r="E13" s="204">
        <f t="shared" ref="E13:E14" si="4">D13/B13</f>
        <v>-0.17839437</v>
      </c>
      <c r="F13" s="199">
        <v>700000</v>
      </c>
      <c r="G13" s="199">
        <f>'GRO PRO AS 2024 OG 2025 '!H12+'GRO PRO AS 2024 OG 2025 '!H13</f>
        <v>325112.84999999998</v>
      </c>
      <c r="H13" s="199">
        <f t="shared" si="1"/>
        <v>-374887.15</v>
      </c>
      <c r="I13" s="204">
        <f t="shared" ref="I13:I14" si="5">H13/F13</f>
        <v>-0.53555307142857145</v>
      </c>
      <c r="J13" s="63" t="s">
        <v>240</v>
      </c>
    </row>
    <row r="14" spans="1:12" x14ac:dyDescent="0.25">
      <c r="A14" s="50" t="s">
        <v>236</v>
      </c>
      <c r="B14" s="199">
        <v>600000</v>
      </c>
      <c r="C14" s="199">
        <f>'NØKKELTALL OVERORDNET AVTALE '!E14+'NØKKELTALL OVERORDNET AVTALE '!F14</f>
        <v>676690.86</v>
      </c>
      <c r="D14" s="199">
        <f t="shared" si="0"/>
        <v>76690.859999999986</v>
      </c>
      <c r="E14" s="204">
        <f t="shared" si="4"/>
        <v>0.12781809999999999</v>
      </c>
      <c r="F14" s="199">
        <v>50000</v>
      </c>
      <c r="G14" s="199">
        <v>50000</v>
      </c>
      <c r="H14" s="199">
        <f t="shared" si="1"/>
        <v>0</v>
      </c>
      <c r="I14" s="204">
        <f t="shared" si="5"/>
        <v>0</v>
      </c>
      <c r="J14" s="63" t="s">
        <v>240</v>
      </c>
    </row>
    <row r="15" spans="1:12" ht="15.75" thickBot="1" x14ac:dyDescent="0.3">
      <c r="A15" s="64" t="s">
        <v>246</v>
      </c>
      <c r="B15" s="214">
        <v>0</v>
      </c>
      <c r="C15" s="214">
        <f>'NØKKELTALL OVERORDNET AVTALE '!B18</f>
        <v>194616.71</v>
      </c>
      <c r="D15" s="214"/>
      <c r="E15" s="214"/>
      <c r="F15" s="214"/>
      <c r="G15" s="214">
        <f>'NØKKELTALL OVERORDNET AVTALE '!C18</f>
        <v>-194616.71</v>
      </c>
      <c r="H15" s="214"/>
      <c r="I15" s="214"/>
      <c r="J15" s="65" t="s">
        <v>247</v>
      </c>
    </row>
    <row r="16" spans="1:12" x14ac:dyDescent="0.25">
      <c r="A16" s="216"/>
      <c r="B16" s="206"/>
      <c r="C16" s="206"/>
      <c r="D16" s="206"/>
      <c r="E16" s="206"/>
      <c r="F16" s="206"/>
      <c r="G16" s="206"/>
      <c r="H16" s="206"/>
      <c r="I16" s="206"/>
      <c r="J16" s="217"/>
    </row>
    <row r="17" spans="1:10" x14ac:dyDescent="0.25">
      <c r="A17" s="218" t="s">
        <v>241</v>
      </c>
      <c r="B17" s="205"/>
      <c r="C17" s="205"/>
      <c r="D17" s="205"/>
      <c r="E17" s="205"/>
      <c r="F17" s="205"/>
      <c r="G17" s="205"/>
      <c r="H17" s="205"/>
      <c r="I17" s="205"/>
      <c r="J17" s="219"/>
    </row>
    <row r="18" spans="1:10" x14ac:dyDescent="0.25">
      <c r="A18" s="218" t="s">
        <v>242</v>
      </c>
      <c r="B18" s="205"/>
      <c r="C18" s="205"/>
      <c r="D18" s="205"/>
      <c r="E18" s="205"/>
      <c r="F18" s="205"/>
      <c r="G18" s="205"/>
      <c r="H18" s="205"/>
      <c r="I18" s="205"/>
      <c r="J18" s="219"/>
    </row>
    <row r="19" spans="1:10" x14ac:dyDescent="0.25">
      <c r="A19" s="218" t="s">
        <v>245</v>
      </c>
      <c r="B19" s="205"/>
      <c r="C19" s="205"/>
      <c r="D19" s="205"/>
      <c r="E19" s="205"/>
      <c r="F19" s="205"/>
      <c r="G19" s="205"/>
      <c r="H19" s="205"/>
      <c r="I19" s="205"/>
      <c r="J19" s="219"/>
    </row>
    <row r="20" spans="1:10" x14ac:dyDescent="0.25">
      <c r="A20" s="218" t="s">
        <v>248</v>
      </c>
      <c r="B20" s="205"/>
      <c r="C20" s="205"/>
      <c r="D20" s="205"/>
      <c r="E20" s="205"/>
      <c r="F20" s="205"/>
      <c r="G20" s="205"/>
      <c r="H20" s="205"/>
      <c r="I20" s="205"/>
      <c r="J20" s="219"/>
    </row>
    <row r="21" spans="1:10" x14ac:dyDescent="0.25">
      <c r="A21" s="218"/>
      <c r="B21" s="205"/>
      <c r="C21" s="205"/>
      <c r="D21" s="205"/>
      <c r="E21" s="205"/>
      <c r="F21" s="205"/>
      <c r="G21" s="205"/>
      <c r="H21" s="205"/>
      <c r="I21" s="205"/>
      <c r="J21" s="219"/>
    </row>
    <row r="22" spans="1:10" x14ac:dyDescent="0.25">
      <c r="A22" s="218"/>
      <c r="B22" s="205"/>
      <c r="C22" s="205"/>
      <c r="D22" s="205"/>
      <c r="E22" s="205"/>
      <c r="F22" s="205"/>
      <c r="G22" s="205"/>
      <c r="H22" s="205"/>
      <c r="I22" s="205"/>
      <c r="J22" s="219"/>
    </row>
    <row r="23" spans="1:10" x14ac:dyDescent="0.25">
      <c r="A23" s="218"/>
      <c r="B23" s="205"/>
      <c r="C23" s="205"/>
      <c r="D23" s="205"/>
      <c r="E23" s="205"/>
      <c r="F23" s="205"/>
      <c r="G23" s="205"/>
      <c r="H23" s="205"/>
      <c r="I23" s="205"/>
      <c r="J23" s="219"/>
    </row>
    <row r="24" spans="1:10" ht="15.75" thickBot="1" x14ac:dyDescent="0.3">
      <c r="A24" s="220"/>
      <c r="B24" s="221"/>
      <c r="C24" s="221"/>
      <c r="D24" s="221"/>
      <c r="E24" s="221"/>
      <c r="F24" s="221"/>
      <c r="G24" s="221"/>
      <c r="H24" s="221"/>
      <c r="I24" s="221"/>
      <c r="J24" s="222"/>
    </row>
  </sheetData>
  <mergeCells count="9">
    <mergeCell ref="A22:J22"/>
    <mergeCell ref="A23:J23"/>
    <mergeCell ref="A24:J24"/>
    <mergeCell ref="A16:J16"/>
    <mergeCell ref="A17:J17"/>
    <mergeCell ref="A18:J18"/>
    <mergeCell ref="A19:J19"/>
    <mergeCell ref="A20:J20"/>
    <mergeCell ref="A21:J21"/>
  </mergeCells>
  <conditionalFormatting sqref="E5">
    <cfRule type="cellIs" dxfId="32" priority="17" operator="greaterThan">
      <formula>0</formula>
    </cfRule>
  </conditionalFormatting>
  <conditionalFormatting sqref="I5">
    <cfRule type="cellIs" dxfId="31" priority="16" operator="lessThan">
      <formula>0</formula>
    </cfRule>
  </conditionalFormatting>
  <conditionalFormatting sqref="E6">
    <cfRule type="cellIs" dxfId="30" priority="15" operator="greaterThan">
      <formula>0</formula>
    </cfRule>
  </conditionalFormatting>
  <conditionalFormatting sqref="I6">
    <cfRule type="cellIs" dxfId="29" priority="14" operator="greaterThan">
      <formula>0</formula>
    </cfRule>
  </conditionalFormatting>
  <conditionalFormatting sqref="E7">
    <cfRule type="cellIs" dxfId="28" priority="13" operator="lessThan">
      <formula>0</formula>
    </cfRule>
  </conditionalFormatting>
  <conditionalFormatting sqref="I7">
    <cfRule type="cellIs" dxfId="27" priority="12" operator="lessThan">
      <formula>0</formula>
    </cfRule>
  </conditionalFormatting>
  <conditionalFormatting sqref="D12:D14">
    <cfRule type="cellIs" dxfId="26" priority="11" operator="lessThan">
      <formula>0</formula>
    </cfRule>
  </conditionalFormatting>
  <conditionalFormatting sqref="H12:H14">
    <cfRule type="cellIs" dxfId="25" priority="10" operator="lessThan">
      <formula>0</formula>
    </cfRule>
  </conditionalFormatting>
  <conditionalFormatting sqref="B7:C7">
    <cfRule type="cellIs" dxfId="24" priority="9" operator="greaterThan">
      <formula>0</formula>
    </cfRule>
  </conditionalFormatting>
  <conditionalFormatting sqref="F7:G7">
    <cfRule type="cellIs" dxfId="23" priority="8" operator="greaterThan">
      <formula>0</formula>
    </cfRule>
    <cfRule type="cellIs" dxfId="22" priority="7" operator="lessThan">
      <formula>0</formula>
    </cfRule>
  </conditionalFormatting>
  <conditionalFormatting sqref="D7">
    <cfRule type="cellIs" dxfId="21" priority="6" operator="lessThan">
      <formula>0</formula>
    </cfRule>
  </conditionalFormatting>
  <conditionalFormatting sqref="H7">
    <cfRule type="cellIs" dxfId="20" priority="5" operator="lessThan">
      <formula>0</formula>
    </cfRule>
  </conditionalFormatting>
  <conditionalFormatting sqref="B12:C12">
    <cfRule type="cellIs" dxfId="19" priority="4" operator="greaterThan">
      <formula>0</formula>
    </cfRule>
  </conditionalFormatting>
  <conditionalFormatting sqref="F12:G12">
    <cfRule type="cellIs" dxfId="18" priority="3" operator="greaterThan">
      <formula>0</formula>
    </cfRule>
  </conditionalFormatting>
  <conditionalFormatting sqref="C15">
    <cfRule type="cellIs" dxfId="17" priority="2" operator="greaterThan">
      <formula>0</formula>
    </cfRule>
  </conditionalFormatting>
  <conditionalFormatting sqref="G15">
    <cfRule type="cellIs" dxfId="0" priority="1" operator="lessThan">
      <formula>0</formula>
    </cfRule>
  </conditionalFormatting>
  <pageMargins left="0" right="0" top="0" bottom="0" header="0.31496062992125984" footer="0.31496062992125984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989A4-FF38-4070-AF2F-2254AD5DCF4C}">
  <sheetPr>
    <tabColor rgb="FFFFFF00"/>
    <pageSetUpPr fitToPage="1"/>
  </sheetPr>
  <dimension ref="A1:R36"/>
  <sheetViews>
    <sheetView tabSelected="1" workbookViewId="0">
      <selection sqref="A1:P23"/>
    </sheetView>
  </sheetViews>
  <sheetFormatPr baseColWidth="10" defaultRowHeight="15" x14ac:dyDescent="0.25"/>
  <cols>
    <col min="1" max="1" width="61" bestFit="1" customWidth="1"/>
    <col min="2" max="2" width="17.28515625" bestFit="1" customWidth="1"/>
    <col min="3" max="3" width="14.85546875" bestFit="1" customWidth="1"/>
    <col min="4" max="4" width="17" bestFit="1" customWidth="1"/>
    <col min="5" max="7" width="14.85546875" bestFit="1" customWidth="1"/>
    <col min="8" max="9" width="11.140625" bestFit="1" customWidth="1"/>
    <col min="10" max="10" width="12.5703125" bestFit="1" customWidth="1"/>
    <col min="11" max="16" width="14.85546875" bestFit="1" customWidth="1"/>
    <col min="17" max="17" width="6.28515625" bestFit="1" customWidth="1"/>
    <col min="18" max="18" width="146" customWidth="1"/>
  </cols>
  <sheetData>
    <row r="1" spans="1:18" ht="19.5" thickBot="1" x14ac:dyDescent="0.35">
      <c r="A1" s="69" t="s">
        <v>197</v>
      </c>
      <c r="B1" s="178" t="s">
        <v>196</v>
      </c>
      <c r="C1" s="179"/>
      <c r="D1" s="179"/>
      <c r="E1" s="179"/>
      <c r="F1" s="179"/>
      <c r="G1" s="180"/>
      <c r="H1" s="175" t="s">
        <v>194</v>
      </c>
      <c r="I1" s="176"/>
      <c r="J1" s="177"/>
      <c r="K1" s="175" t="s">
        <v>195</v>
      </c>
      <c r="L1" s="176"/>
      <c r="M1" s="177"/>
      <c r="N1" s="70" t="s">
        <v>198</v>
      </c>
      <c r="O1" s="71" t="s">
        <v>199</v>
      </c>
      <c r="P1" s="72" t="s">
        <v>200</v>
      </c>
    </row>
    <row r="2" spans="1:18" ht="19.5" thickBot="1" x14ac:dyDescent="0.35">
      <c r="A2" s="73">
        <v>46031</v>
      </c>
      <c r="B2" s="74"/>
      <c r="C2" s="75"/>
      <c r="D2" s="75"/>
      <c r="E2" s="75"/>
      <c r="F2" s="75"/>
      <c r="G2" s="76"/>
      <c r="H2" s="74"/>
      <c r="I2" s="75"/>
      <c r="J2" s="76"/>
      <c r="K2" s="74"/>
      <c r="L2" s="75"/>
      <c r="M2" s="76"/>
      <c r="N2" s="77"/>
      <c r="O2" s="78"/>
      <c r="P2" s="79"/>
    </row>
    <row r="3" spans="1:18" ht="19.5" thickBot="1" x14ac:dyDescent="0.35">
      <c r="A3" s="80"/>
      <c r="B3" s="81" t="s">
        <v>175</v>
      </c>
      <c r="C3" s="82" t="s">
        <v>178</v>
      </c>
      <c r="D3" s="82" t="s">
        <v>176</v>
      </c>
      <c r="E3" s="83" t="s">
        <v>180</v>
      </c>
      <c r="F3" s="84" t="s">
        <v>181</v>
      </c>
      <c r="G3" s="85" t="s">
        <v>182</v>
      </c>
      <c r="H3" s="86" t="s">
        <v>180</v>
      </c>
      <c r="I3" s="84" t="s">
        <v>181</v>
      </c>
      <c r="J3" s="85" t="s">
        <v>182</v>
      </c>
      <c r="K3" s="86" t="s">
        <v>180</v>
      </c>
      <c r="L3" s="84" t="s">
        <v>181</v>
      </c>
      <c r="M3" s="85" t="s">
        <v>182</v>
      </c>
      <c r="N3" s="77"/>
      <c r="O3" s="78"/>
      <c r="P3" s="79"/>
      <c r="Q3" s="60" t="s">
        <v>202</v>
      </c>
      <c r="R3" s="157" t="s">
        <v>203</v>
      </c>
    </row>
    <row r="4" spans="1:18" ht="19.5" thickBot="1" x14ac:dyDescent="0.35">
      <c r="A4" s="87"/>
      <c r="B4" s="88"/>
      <c r="C4" s="89"/>
      <c r="D4" s="89"/>
      <c r="E4" s="90"/>
      <c r="F4" s="90"/>
      <c r="G4" s="91"/>
      <c r="H4" s="92"/>
      <c r="I4" s="93"/>
      <c r="J4" s="94"/>
      <c r="K4" s="92"/>
      <c r="L4" s="93"/>
      <c r="M4" s="94"/>
      <c r="N4" s="88"/>
      <c r="O4" s="89"/>
      <c r="P4" s="95"/>
      <c r="Q4" s="154">
        <v>1</v>
      </c>
      <c r="R4" s="62" t="s">
        <v>204</v>
      </c>
    </row>
    <row r="5" spans="1:18" ht="19.5" thickBot="1" x14ac:dyDescent="0.35">
      <c r="A5" s="96" t="s">
        <v>177</v>
      </c>
      <c r="B5" s="97">
        <f>'PLANTEDAMP AS 2022-2025'!Q9</f>
        <v>1146318.78</v>
      </c>
      <c r="C5" s="98">
        <f>'GRO PRO AS 2024 OG 2025 '!M10</f>
        <v>366362.42</v>
      </c>
      <c r="D5" s="98">
        <f>B5+C5</f>
        <v>1512681.2</v>
      </c>
      <c r="E5" s="98">
        <f>B5/2</f>
        <v>573159.39</v>
      </c>
      <c r="F5" s="98">
        <f>B5/2</f>
        <v>573159.39</v>
      </c>
      <c r="G5" s="99">
        <f>C5</f>
        <v>366362.42</v>
      </c>
      <c r="H5" s="100">
        <f>E5/D5</f>
        <v>0.37890296382344146</v>
      </c>
      <c r="I5" s="101">
        <f>F5/D5</f>
        <v>0.37890296382344146</v>
      </c>
      <c r="J5" s="102">
        <f>G5/D5</f>
        <v>0.2421940723531171</v>
      </c>
      <c r="K5" s="103">
        <f>D5/3</f>
        <v>504227.06666666665</v>
      </c>
      <c r="L5" s="104">
        <f>D5/3</f>
        <v>504227.06666666665</v>
      </c>
      <c r="M5" s="105">
        <f>D5/3</f>
        <v>504227.06666666665</v>
      </c>
      <c r="N5" s="106">
        <f>B5/3</f>
        <v>382106.26</v>
      </c>
      <c r="O5" s="107">
        <f>C5/3</f>
        <v>122120.80666666666</v>
      </c>
      <c r="P5" s="108">
        <f>D5/3</f>
        <v>504227.06666666665</v>
      </c>
      <c r="Q5" s="155">
        <v>2</v>
      </c>
      <c r="R5" s="62" t="s">
        <v>205</v>
      </c>
    </row>
    <row r="6" spans="1:18" ht="18.75" x14ac:dyDescent="0.3">
      <c r="A6" s="109"/>
      <c r="B6" s="110"/>
      <c r="C6" s="111"/>
      <c r="D6" s="111"/>
      <c r="E6" s="111"/>
      <c r="F6" s="111"/>
      <c r="G6" s="112"/>
      <c r="H6" s="113"/>
      <c r="I6" s="114"/>
      <c r="J6" s="115"/>
      <c r="K6" s="116"/>
      <c r="L6" s="117"/>
      <c r="M6" s="118"/>
      <c r="N6" s="119"/>
      <c r="O6" s="120"/>
      <c r="P6" s="121"/>
      <c r="Q6" s="155">
        <v>3</v>
      </c>
      <c r="R6" s="62" t="s">
        <v>208</v>
      </c>
    </row>
    <row r="7" spans="1:18" ht="18.75" x14ac:dyDescent="0.3">
      <c r="A7" s="122" t="s">
        <v>184</v>
      </c>
      <c r="B7" s="116">
        <f>-'PLANTEDAMP AS 2022-2025'!T28</f>
        <v>120000</v>
      </c>
      <c r="C7" s="117">
        <f>'GRO PRO AS 2024 OG 2025 '!P10</f>
        <v>448000</v>
      </c>
      <c r="D7" s="117">
        <f>B7+C7</f>
        <v>568000</v>
      </c>
      <c r="E7" s="117">
        <v>60000</v>
      </c>
      <c r="F7" s="117">
        <v>60000</v>
      </c>
      <c r="G7" s="118">
        <v>448000</v>
      </c>
      <c r="H7" s="100">
        <f>E7/D7</f>
        <v>0.10563380281690141</v>
      </c>
      <c r="I7" s="101">
        <f>F7/D7</f>
        <v>0.10563380281690141</v>
      </c>
      <c r="J7" s="102">
        <f>G7/D7</f>
        <v>0.78873239436619713</v>
      </c>
      <c r="K7" s="116">
        <f t="shared" ref="K7:K14" si="0">D7/3</f>
        <v>189333.33333333334</v>
      </c>
      <c r="L7" s="117">
        <f t="shared" ref="L7:L14" si="1">D7/3</f>
        <v>189333.33333333334</v>
      </c>
      <c r="M7" s="118">
        <f t="shared" ref="M7:M14" si="2">D7/3</f>
        <v>189333.33333333334</v>
      </c>
      <c r="N7" s="116">
        <f t="shared" ref="N7:P10" si="3">B7/3</f>
        <v>40000</v>
      </c>
      <c r="O7" s="117">
        <f t="shared" si="3"/>
        <v>149333.33333333334</v>
      </c>
      <c r="P7" s="118">
        <f t="shared" si="3"/>
        <v>189333.33333333334</v>
      </c>
      <c r="Q7" s="155">
        <v>4</v>
      </c>
      <c r="R7" s="62" t="s">
        <v>206</v>
      </c>
    </row>
    <row r="8" spans="1:18" ht="19.5" thickBot="1" x14ac:dyDescent="0.35">
      <c r="A8" s="123" t="s">
        <v>183</v>
      </c>
      <c r="B8" s="124">
        <f>-'PLANTEDAMP AS 2022-2025'!R30</f>
        <v>212022.73000000019</v>
      </c>
      <c r="C8" s="90">
        <f>'GRO PRO AS 2024 OG 2025 '!Q10</f>
        <v>-372432.78</v>
      </c>
      <c r="D8" s="90">
        <f>B8+C8</f>
        <v>-160410.04999999984</v>
      </c>
      <c r="E8" s="90">
        <f>B8/2</f>
        <v>106011.36500000009</v>
      </c>
      <c r="F8" s="90">
        <f>B8/2</f>
        <v>106011.36500000009</v>
      </c>
      <c r="G8" s="91">
        <f>D8</f>
        <v>-160410.04999999984</v>
      </c>
      <c r="H8" s="125">
        <f>E8/D8</f>
        <v>-0.66087732657648446</v>
      </c>
      <c r="I8" s="126">
        <f>F8/D8</f>
        <v>-0.66087732657648446</v>
      </c>
      <c r="J8" s="127">
        <f>G8/D8</f>
        <v>1</v>
      </c>
      <c r="K8" s="124">
        <f t="shared" si="0"/>
        <v>-53470.016666666612</v>
      </c>
      <c r="L8" s="90">
        <f t="shared" si="1"/>
        <v>-53470.016666666612</v>
      </c>
      <c r="M8" s="91">
        <f t="shared" si="2"/>
        <v>-53470.016666666612</v>
      </c>
      <c r="N8" s="124">
        <f t="shared" si="3"/>
        <v>70674.24333333339</v>
      </c>
      <c r="O8" s="90">
        <f t="shared" si="3"/>
        <v>-124144.26000000001</v>
      </c>
      <c r="P8" s="91">
        <f t="shared" si="3"/>
        <v>-53470.016666666612</v>
      </c>
      <c r="Q8" s="155">
        <v>5</v>
      </c>
      <c r="R8" s="62" t="s">
        <v>207</v>
      </c>
    </row>
    <row r="9" spans="1:18" ht="19.5" thickBot="1" x14ac:dyDescent="0.35">
      <c r="A9" s="96" t="s">
        <v>179</v>
      </c>
      <c r="B9" s="106">
        <f t="shared" ref="B9:G9" si="4">B7+B8</f>
        <v>332022.73000000021</v>
      </c>
      <c r="C9" s="107">
        <f t="shared" si="4"/>
        <v>75567.219999999972</v>
      </c>
      <c r="D9" s="107">
        <f t="shared" si="4"/>
        <v>407589.95000000019</v>
      </c>
      <c r="E9" s="107">
        <f t="shared" si="4"/>
        <v>166011.36500000011</v>
      </c>
      <c r="F9" s="107">
        <f t="shared" si="4"/>
        <v>166011.36500000011</v>
      </c>
      <c r="G9" s="108">
        <f t="shared" si="4"/>
        <v>287589.95000000019</v>
      </c>
      <c r="H9" s="128">
        <f>E9/D9</f>
        <v>0.40729994691969229</v>
      </c>
      <c r="I9" s="129">
        <f>F9/D9</f>
        <v>0.40729994691969229</v>
      </c>
      <c r="J9" s="130">
        <f>G9/D9</f>
        <v>0.70558646011757664</v>
      </c>
      <c r="K9" s="106">
        <f t="shared" si="0"/>
        <v>135863.31666666674</v>
      </c>
      <c r="L9" s="107">
        <f t="shared" si="1"/>
        <v>135863.31666666674</v>
      </c>
      <c r="M9" s="108">
        <f t="shared" si="2"/>
        <v>135863.31666666674</v>
      </c>
      <c r="N9" s="106">
        <f t="shared" si="3"/>
        <v>110674.2433333334</v>
      </c>
      <c r="O9" s="107">
        <f t="shared" si="3"/>
        <v>25189.073333333323</v>
      </c>
      <c r="P9" s="108">
        <f t="shared" si="3"/>
        <v>135863.31666666674</v>
      </c>
      <c r="Q9" s="155">
        <v>6</v>
      </c>
      <c r="R9" s="62" t="s">
        <v>209</v>
      </c>
    </row>
    <row r="10" spans="1:18" ht="18.75" x14ac:dyDescent="0.3">
      <c r="A10" s="109" t="s">
        <v>185</v>
      </c>
      <c r="B10" s="110">
        <f>-'PLANTEDAMP AS 2022-2025'!V45</f>
        <v>420276.66</v>
      </c>
      <c r="C10" s="111"/>
      <c r="D10" s="111">
        <f>B10+C10</f>
        <v>420276.66</v>
      </c>
      <c r="E10" s="111">
        <f>D10</f>
        <v>420276.66</v>
      </c>
      <c r="F10" s="111"/>
      <c r="G10" s="112"/>
      <c r="H10" s="131">
        <f>D10/D14</f>
        <v>0.57834312103498864</v>
      </c>
      <c r="I10" s="132">
        <v>0</v>
      </c>
      <c r="J10" s="133">
        <v>0</v>
      </c>
      <c r="K10" s="110">
        <f t="shared" si="0"/>
        <v>140092.22</v>
      </c>
      <c r="L10" s="111">
        <f t="shared" si="1"/>
        <v>140092.22</v>
      </c>
      <c r="M10" s="112">
        <f t="shared" si="2"/>
        <v>140092.22</v>
      </c>
      <c r="N10" s="110">
        <f t="shared" si="3"/>
        <v>140092.22</v>
      </c>
      <c r="O10" s="111">
        <f t="shared" si="3"/>
        <v>0</v>
      </c>
      <c r="P10" s="112">
        <f t="shared" si="3"/>
        <v>140092.22</v>
      </c>
      <c r="Q10" s="155">
        <v>7</v>
      </c>
      <c r="R10" s="62" t="s">
        <v>210</v>
      </c>
    </row>
    <row r="11" spans="1:18" ht="18.75" x14ac:dyDescent="0.3">
      <c r="A11" s="80" t="s">
        <v>186</v>
      </c>
      <c r="B11" s="116">
        <f>-'PLANTEDAMP AS 2022-2025'!V44</f>
        <v>206414.2</v>
      </c>
      <c r="C11" s="117"/>
      <c r="D11" s="117">
        <f t="shared" ref="D11:D13" si="5">B11+C11</f>
        <v>206414.2</v>
      </c>
      <c r="E11" s="117"/>
      <c r="F11" s="117">
        <f>D11</f>
        <v>206414.2</v>
      </c>
      <c r="G11" s="118"/>
      <c r="H11" s="100">
        <v>0</v>
      </c>
      <c r="I11" s="134">
        <f>D11/D14</f>
        <v>0.28404678159843655</v>
      </c>
      <c r="J11" s="135">
        <v>0</v>
      </c>
      <c r="K11" s="116">
        <f t="shared" si="0"/>
        <v>68804.733333333337</v>
      </c>
      <c r="L11" s="117">
        <f t="shared" si="1"/>
        <v>68804.733333333337</v>
      </c>
      <c r="M11" s="118">
        <f t="shared" si="2"/>
        <v>68804.733333333337</v>
      </c>
      <c r="N11" s="116">
        <f t="shared" ref="N11:N14" si="6">B11/3</f>
        <v>68804.733333333337</v>
      </c>
      <c r="O11" s="117">
        <f t="shared" ref="O11:O14" si="7">C11/3</f>
        <v>0</v>
      </c>
      <c r="P11" s="118">
        <f t="shared" ref="P11:P14" si="8">D11/3</f>
        <v>68804.733333333337</v>
      </c>
      <c r="Q11" s="155">
        <v>8</v>
      </c>
      <c r="R11" s="62" t="s">
        <v>211</v>
      </c>
    </row>
    <row r="12" spans="1:18" ht="18.75" x14ac:dyDescent="0.3">
      <c r="A12" s="80" t="s">
        <v>187</v>
      </c>
      <c r="B12" s="116">
        <f>-'PLANTEDAMP AS 2022-2025'!V32</f>
        <v>50000</v>
      </c>
      <c r="C12" s="117"/>
      <c r="D12" s="117">
        <f t="shared" si="5"/>
        <v>50000</v>
      </c>
      <c r="E12" s="117">
        <f>D12</f>
        <v>50000</v>
      </c>
      <c r="F12" s="117"/>
      <c r="G12" s="118"/>
      <c r="H12" s="100">
        <f>D12/D14</f>
        <v>6.880504868328742E-2</v>
      </c>
      <c r="I12" s="134">
        <v>0</v>
      </c>
      <c r="J12" s="135">
        <v>0</v>
      </c>
      <c r="K12" s="116">
        <f t="shared" si="0"/>
        <v>16666.666666666668</v>
      </c>
      <c r="L12" s="117">
        <f t="shared" si="1"/>
        <v>16666.666666666668</v>
      </c>
      <c r="M12" s="118">
        <f t="shared" si="2"/>
        <v>16666.666666666668</v>
      </c>
      <c r="N12" s="116">
        <f t="shared" si="6"/>
        <v>16666.666666666668</v>
      </c>
      <c r="O12" s="117">
        <f t="shared" si="7"/>
        <v>0</v>
      </c>
      <c r="P12" s="118">
        <f t="shared" si="8"/>
        <v>16666.666666666668</v>
      </c>
      <c r="Q12" s="155">
        <v>9</v>
      </c>
      <c r="R12" s="62" t="s">
        <v>212</v>
      </c>
    </row>
    <row r="13" spans="1:18" ht="19.5" thickBot="1" x14ac:dyDescent="0.35">
      <c r="A13" s="87" t="s">
        <v>188</v>
      </c>
      <c r="B13" s="124">
        <v>0</v>
      </c>
      <c r="C13" s="90">
        <f>'GRO PRO AS 2024 OG 2025 '!R10</f>
        <v>50000</v>
      </c>
      <c r="D13" s="90">
        <f t="shared" si="5"/>
        <v>50000</v>
      </c>
      <c r="E13" s="90"/>
      <c r="F13" s="90"/>
      <c r="G13" s="91">
        <f>D13</f>
        <v>50000</v>
      </c>
      <c r="H13" s="125">
        <v>0</v>
      </c>
      <c r="I13" s="136">
        <v>0</v>
      </c>
      <c r="J13" s="137">
        <f>D13/D14</f>
        <v>6.880504868328742E-2</v>
      </c>
      <c r="K13" s="124">
        <f t="shared" si="0"/>
        <v>16666.666666666668</v>
      </c>
      <c r="L13" s="90">
        <f t="shared" si="1"/>
        <v>16666.666666666668</v>
      </c>
      <c r="M13" s="91">
        <f t="shared" si="2"/>
        <v>16666.666666666668</v>
      </c>
      <c r="N13" s="124">
        <f t="shared" si="6"/>
        <v>0</v>
      </c>
      <c r="O13" s="90">
        <f t="shared" si="7"/>
        <v>16666.666666666668</v>
      </c>
      <c r="P13" s="91">
        <f t="shared" si="8"/>
        <v>16666.666666666668</v>
      </c>
      <c r="Q13" s="155">
        <v>10</v>
      </c>
      <c r="R13" s="62" t="s">
        <v>213</v>
      </c>
    </row>
    <row r="14" spans="1:18" ht="19.5" thickBot="1" x14ac:dyDescent="0.35">
      <c r="A14" s="96" t="s">
        <v>189</v>
      </c>
      <c r="B14" s="106">
        <f t="shared" ref="B14:G14" si="9">SUM(B10:B13)</f>
        <v>676690.86</v>
      </c>
      <c r="C14" s="107">
        <f t="shared" si="9"/>
        <v>50000</v>
      </c>
      <c r="D14" s="107">
        <f t="shared" si="9"/>
        <v>726690.86</v>
      </c>
      <c r="E14" s="107">
        <f t="shared" si="9"/>
        <v>470276.66</v>
      </c>
      <c r="F14" s="107">
        <f t="shared" si="9"/>
        <v>206414.2</v>
      </c>
      <c r="G14" s="108">
        <f t="shared" si="9"/>
        <v>50000</v>
      </c>
      <c r="H14" s="128">
        <f>E14/D14</f>
        <v>0.64714816971827605</v>
      </c>
      <c r="I14" s="129">
        <f>F14/D14</f>
        <v>0.28404678159843655</v>
      </c>
      <c r="J14" s="130">
        <f>G14/D14</f>
        <v>6.880504868328742E-2</v>
      </c>
      <c r="K14" s="106">
        <f t="shared" si="0"/>
        <v>242230.28666666665</v>
      </c>
      <c r="L14" s="107">
        <f t="shared" si="1"/>
        <v>242230.28666666665</v>
      </c>
      <c r="M14" s="108">
        <f t="shared" si="2"/>
        <v>242230.28666666665</v>
      </c>
      <c r="N14" s="106">
        <f t="shared" si="6"/>
        <v>225563.62</v>
      </c>
      <c r="O14" s="107">
        <f t="shared" si="7"/>
        <v>16666.666666666668</v>
      </c>
      <c r="P14" s="108">
        <f t="shared" si="8"/>
        <v>242230.28666666665</v>
      </c>
      <c r="Q14" s="155">
        <v>11</v>
      </c>
      <c r="R14" s="62" t="s">
        <v>214</v>
      </c>
    </row>
    <row r="15" spans="1:18" ht="19.5" thickBot="1" x14ac:dyDescent="0.35">
      <c r="A15" s="138"/>
      <c r="B15" s="139"/>
      <c r="C15" s="140"/>
      <c r="D15" s="140"/>
      <c r="E15" s="140"/>
      <c r="F15" s="140"/>
      <c r="G15" s="141"/>
      <c r="H15" s="142"/>
      <c r="I15" s="143"/>
      <c r="J15" s="144"/>
      <c r="K15" s="145"/>
      <c r="L15" s="146"/>
      <c r="M15" s="147"/>
      <c r="N15" s="139"/>
      <c r="O15" s="140"/>
      <c r="P15" s="141"/>
      <c r="Q15" s="155">
        <v>12</v>
      </c>
      <c r="R15" s="62" t="s">
        <v>215</v>
      </c>
    </row>
    <row r="16" spans="1:18" ht="19.5" thickBot="1" x14ac:dyDescent="0.35">
      <c r="A16" s="96" t="s">
        <v>190</v>
      </c>
      <c r="B16" s="106">
        <f t="shared" ref="B16:G16" si="10">B14+B9</f>
        <v>1008713.5900000002</v>
      </c>
      <c r="C16" s="107">
        <f t="shared" si="10"/>
        <v>125567.21999999997</v>
      </c>
      <c r="D16" s="107">
        <f t="shared" si="10"/>
        <v>1134280.81</v>
      </c>
      <c r="E16" s="107">
        <f t="shared" si="10"/>
        <v>636288.02500000014</v>
      </c>
      <c r="F16" s="107">
        <f t="shared" si="10"/>
        <v>372425.56500000012</v>
      </c>
      <c r="G16" s="108">
        <f t="shared" si="10"/>
        <v>337589.95000000019</v>
      </c>
      <c r="H16" s="128">
        <f>E16/D16</f>
        <v>0.56096164141223559</v>
      </c>
      <c r="I16" s="129">
        <f>F16/D16</f>
        <v>0.32833630060267005</v>
      </c>
      <c r="J16" s="130">
        <f>G16/D16</f>
        <v>0.29762466844519758</v>
      </c>
      <c r="K16" s="106">
        <f>D16/3</f>
        <v>378093.60333333333</v>
      </c>
      <c r="L16" s="107">
        <f>D16/3</f>
        <v>378093.60333333333</v>
      </c>
      <c r="M16" s="108">
        <f>D16/3</f>
        <v>378093.60333333333</v>
      </c>
      <c r="N16" s="106">
        <f>B16/3</f>
        <v>336237.8633333334</v>
      </c>
      <c r="O16" s="107">
        <f>C16/3</f>
        <v>41855.739999999991</v>
      </c>
      <c r="P16" s="108">
        <f>D16/3</f>
        <v>378093.60333333333</v>
      </c>
      <c r="Q16" s="155">
        <v>13</v>
      </c>
      <c r="R16" s="62" t="s">
        <v>216</v>
      </c>
    </row>
    <row r="17" spans="1:18" ht="19.5" thickBot="1" x14ac:dyDescent="0.35">
      <c r="A17" s="138"/>
      <c r="B17" s="139"/>
      <c r="C17" s="140"/>
      <c r="D17" s="140"/>
      <c r="E17" s="140"/>
      <c r="F17" s="140"/>
      <c r="G17" s="141"/>
      <c r="H17" s="148"/>
      <c r="I17" s="149"/>
      <c r="J17" s="150"/>
      <c r="K17" s="110"/>
      <c r="L17" s="111"/>
      <c r="M17" s="112"/>
      <c r="N17" s="119"/>
      <c r="O17" s="120"/>
      <c r="P17" s="121"/>
      <c r="Q17" s="155">
        <v>14</v>
      </c>
      <c r="R17" s="62" t="s">
        <v>217</v>
      </c>
    </row>
    <row r="18" spans="1:18" ht="19.5" thickBot="1" x14ac:dyDescent="0.35">
      <c r="A18" s="96" t="s">
        <v>191</v>
      </c>
      <c r="B18" s="97">
        <f>'PLANTEDAMP AS 2022-2025'!X15</f>
        <v>194616.71</v>
      </c>
      <c r="C18" s="98">
        <f>-B18</f>
        <v>-194616.71</v>
      </c>
      <c r="D18" s="98">
        <f>B18+C18</f>
        <v>0</v>
      </c>
      <c r="E18" s="98">
        <f>B18/2</f>
        <v>97308.354999999996</v>
      </c>
      <c r="F18" s="98">
        <f>B18/2</f>
        <v>97308.354999999996</v>
      </c>
      <c r="G18" s="99">
        <f>C18</f>
        <v>-194616.71</v>
      </c>
      <c r="H18" s="100">
        <f>E18/B18</f>
        <v>0.5</v>
      </c>
      <c r="I18" s="101">
        <f>F18/B18</f>
        <v>0.5</v>
      </c>
      <c r="J18" s="102">
        <f>-G18/C18</f>
        <v>-1</v>
      </c>
      <c r="K18" s="113">
        <v>0</v>
      </c>
      <c r="L18" s="114">
        <v>0</v>
      </c>
      <c r="M18" s="115">
        <v>0</v>
      </c>
      <c r="N18" s="116">
        <f>B18/3</f>
        <v>64872.236666666664</v>
      </c>
      <c r="O18" s="117">
        <f>C18/3</f>
        <v>-64872.236666666664</v>
      </c>
      <c r="P18" s="118">
        <f>D18/3</f>
        <v>0</v>
      </c>
      <c r="Q18" s="155">
        <v>15</v>
      </c>
      <c r="R18" s="62" t="s">
        <v>218</v>
      </c>
    </row>
    <row r="19" spans="1:18" ht="19.5" thickBot="1" x14ac:dyDescent="0.35">
      <c r="A19" s="138"/>
      <c r="B19" s="139"/>
      <c r="C19" s="140"/>
      <c r="D19" s="140"/>
      <c r="E19" s="140"/>
      <c r="F19" s="140"/>
      <c r="G19" s="141"/>
      <c r="H19" s="151"/>
      <c r="I19" s="152"/>
      <c r="J19" s="153"/>
      <c r="K19" s="124"/>
      <c r="L19" s="90"/>
      <c r="M19" s="91"/>
      <c r="N19" s="88"/>
      <c r="O19" s="89"/>
      <c r="P19" s="95"/>
      <c r="Q19" s="155">
        <v>16</v>
      </c>
      <c r="R19" s="62" t="s">
        <v>219</v>
      </c>
    </row>
    <row r="20" spans="1:18" ht="19.5" thickBot="1" x14ac:dyDescent="0.35">
      <c r="A20" s="96" t="s">
        <v>201</v>
      </c>
      <c r="B20" s="106">
        <f>B16+B18</f>
        <v>1203330.3000000003</v>
      </c>
      <c r="C20" s="107">
        <f t="shared" ref="C20:G20" si="11">C16+C18</f>
        <v>-69049.49000000002</v>
      </c>
      <c r="D20" s="107">
        <f t="shared" si="11"/>
        <v>1134280.81</v>
      </c>
      <c r="E20" s="107">
        <f t="shared" si="11"/>
        <v>733596.38000000012</v>
      </c>
      <c r="F20" s="107">
        <f t="shared" si="11"/>
        <v>469733.9200000001</v>
      </c>
      <c r="G20" s="108">
        <f t="shared" si="11"/>
        <v>142973.24000000019</v>
      </c>
      <c r="H20" s="128">
        <f>E20/D20</f>
        <v>0.64675023462664427</v>
      </c>
      <c r="I20" s="129">
        <f>F20/D20</f>
        <v>0.41412489381707873</v>
      </c>
      <c r="J20" s="130">
        <f>G20/D20</f>
        <v>0.12604748201638022</v>
      </c>
      <c r="K20" s="106">
        <f>D20/3</f>
        <v>378093.60333333333</v>
      </c>
      <c r="L20" s="107">
        <f>D20/3</f>
        <v>378093.60333333333</v>
      </c>
      <c r="M20" s="108">
        <f>D20/3</f>
        <v>378093.60333333333</v>
      </c>
      <c r="N20" s="106">
        <f>B20/3</f>
        <v>401110.10000000009</v>
      </c>
      <c r="O20" s="107">
        <f>C20/3</f>
        <v>-23016.496666666673</v>
      </c>
      <c r="P20" s="108">
        <f>D20/3</f>
        <v>378093.60333333333</v>
      </c>
      <c r="Q20" s="155">
        <v>17</v>
      </c>
      <c r="R20" s="62" t="s">
        <v>220</v>
      </c>
    </row>
    <row r="21" spans="1:18" ht="19.5" thickBot="1" x14ac:dyDescent="0.35">
      <c r="A21" s="138"/>
      <c r="B21" s="139"/>
      <c r="C21" s="140"/>
      <c r="D21" s="140"/>
      <c r="E21" s="140"/>
      <c r="F21" s="140"/>
      <c r="G21" s="141"/>
      <c r="H21" s="142"/>
      <c r="I21" s="143"/>
      <c r="J21" s="144"/>
      <c r="K21" s="145"/>
      <c r="L21" s="146"/>
      <c r="M21" s="147"/>
      <c r="N21" s="139"/>
      <c r="O21" s="140"/>
      <c r="P21" s="141"/>
      <c r="Q21" s="155">
        <v>18</v>
      </c>
      <c r="R21" s="62" t="s">
        <v>221</v>
      </c>
    </row>
    <row r="22" spans="1:18" ht="19.5" thickBot="1" x14ac:dyDescent="0.35">
      <c r="A22" s="96" t="s">
        <v>192</v>
      </c>
      <c r="B22" s="106">
        <f>-'PLANTEDAMP AS 2022-2025'!S9</f>
        <v>814296.04999999993</v>
      </c>
      <c r="C22" s="107">
        <f>-'GRO PRO AS 2024 OG 2025 '!O10</f>
        <v>296579.20000000001</v>
      </c>
      <c r="D22" s="107">
        <f>B22+C22</f>
        <v>1110875.25</v>
      </c>
      <c r="E22" s="107">
        <f>B22/2</f>
        <v>407148.02499999997</v>
      </c>
      <c r="F22" s="107">
        <f>E22</f>
        <v>407148.02499999997</v>
      </c>
      <c r="G22" s="108">
        <f>C22</f>
        <v>296579.20000000001</v>
      </c>
      <c r="H22" s="128">
        <f>E22/D22</f>
        <v>0.36651102362754051</v>
      </c>
      <c r="I22" s="129">
        <f>F22/D22</f>
        <v>0.36651102362754051</v>
      </c>
      <c r="J22" s="130">
        <f>G22/D22</f>
        <v>0.26697795274491892</v>
      </c>
      <c r="K22" s="106">
        <f>D22/3</f>
        <v>370291.75</v>
      </c>
      <c r="L22" s="107">
        <f>D22/3</f>
        <v>370291.75</v>
      </c>
      <c r="M22" s="108">
        <f>D22/3</f>
        <v>370291.75</v>
      </c>
      <c r="N22" s="106">
        <f t="shared" ref="N22:P23" si="12">B22/3</f>
        <v>271432.01666666666</v>
      </c>
      <c r="O22" s="107">
        <f t="shared" si="12"/>
        <v>98859.733333333337</v>
      </c>
      <c r="P22" s="108">
        <f t="shared" si="12"/>
        <v>370291.75</v>
      </c>
      <c r="Q22" s="155">
        <v>19</v>
      </c>
      <c r="R22" s="62"/>
    </row>
    <row r="23" spans="1:18" ht="19.5" thickBot="1" x14ac:dyDescent="0.35">
      <c r="A23" s="96" t="s">
        <v>193</v>
      </c>
      <c r="B23" s="106">
        <f>B22-B14</f>
        <v>137605.18999999994</v>
      </c>
      <c r="C23" s="107">
        <f>C22-C14+C18</f>
        <v>51962.49000000002</v>
      </c>
      <c r="D23" s="107">
        <f>B23+C23</f>
        <v>189567.67999999996</v>
      </c>
      <c r="E23" s="107">
        <f>B23/2</f>
        <v>68802.594999999972</v>
      </c>
      <c r="F23" s="107">
        <f>E23</f>
        <v>68802.594999999972</v>
      </c>
      <c r="G23" s="108">
        <f>C23</f>
        <v>51962.49000000002</v>
      </c>
      <c r="H23" s="128">
        <f>E23/D23</f>
        <v>0.36294475408466248</v>
      </c>
      <c r="I23" s="129">
        <f>F23/D23</f>
        <v>0.36294475408466248</v>
      </c>
      <c r="J23" s="130">
        <f>G23/D23</f>
        <v>0.2741104918306751</v>
      </c>
      <c r="K23" s="106">
        <f>D23/3</f>
        <v>63189.226666666655</v>
      </c>
      <c r="L23" s="107">
        <f>D23/3</f>
        <v>63189.226666666655</v>
      </c>
      <c r="M23" s="108">
        <f>D23/3</f>
        <v>63189.226666666655</v>
      </c>
      <c r="N23" s="106">
        <f t="shared" si="12"/>
        <v>45868.396666666646</v>
      </c>
      <c r="O23" s="107">
        <f t="shared" si="12"/>
        <v>17320.830000000005</v>
      </c>
      <c r="P23" s="108">
        <f t="shared" si="12"/>
        <v>63189.226666666655</v>
      </c>
      <c r="Q23" s="156">
        <v>20</v>
      </c>
      <c r="R23" s="62"/>
    </row>
    <row r="24" spans="1:18" ht="15.75" thickBot="1" x14ac:dyDescent="0.3">
      <c r="A24" s="181"/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3"/>
      <c r="Q24" s="156">
        <v>21</v>
      </c>
      <c r="R24" s="62"/>
    </row>
    <row r="25" spans="1:18" ht="15.75" thickBot="1" x14ac:dyDescent="0.3">
      <c r="A25" s="169"/>
      <c r="B25" s="170"/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1"/>
      <c r="Q25" s="156">
        <v>22</v>
      </c>
      <c r="R25" s="62"/>
    </row>
    <row r="26" spans="1:18" ht="15.75" thickBot="1" x14ac:dyDescent="0.3">
      <c r="A26" s="169"/>
      <c r="B26" s="170"/>
      <c r="C26" s="170"/>
      <c r="D26" s="170"/>
      <c r="E26" s="170"/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1"/>
      <c r="Q26" s="156">
        <v>23</v>
      </c>
      <c r="R26" s="62"/>
    </row>
    <row r="27" spans="1:18" ht="15.75" thickBot="1" x14ac:dyDescent="0.3">
      <c r="A27" s="169"/>
      <c r="B27" s="170"/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1"/>
      <c r="Q27" s="156">
        <v>24</v>
      </c>
      <c r="R27" s="62"/>
    </row>
    <row r="28" spans="1:18" ht="15.75" thickBot="1" x14ac:dyDescent="0.3">
      <c r="A28" s="169"/>
      <c r="B28" s="170"/>
      <c r="C28" s="170"/>
      <c r="D28" s="170"/>
      <c r="E28" s="170"/>
      <c r="F28" s="170"/>
      <c r="G28" s="170"/>
      <c r="H28" s="170"/>
      <c r="I28" s="170"/>
      <c r="J28" s="170"/>
      <c r="K28" s="170"/>
      <c r="L28" s="170"/>
      <c r="M28" s="170"/>
      <c r="N28" s="170"/>
      <c r="O28" s="170"/>
      <c r="P28" s="171"/>
      <c r="Q28" s="156">
        <v>25</v>
      </c>
      <c r="R28" s="62"/>
    </row>
    <row r="29" spans="1:18" ht="15.75" thickBot="1" x14ac:dyDescent="0.3">
      <c r="A29" s="169"/>
      <c r="B29" s="170"/>
      <c r="C29" s="170"/>
      <c r="D29" s="170"/>
      <c r="E29" s="170"/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171"/>
      <c r="Q29" s="156">
        <v>26</v>
      </c>
      <c r="R29" s="62"/>
    </row>
    <row r="30" spans="1:18" ht="15.75" thickBot="1" x14ac:dyDescent="0.3">
      <c r="A30" s="169"/>
      <c r="B30" s="170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1"/>
      <c r="Q30" s="156">
        <v>27</v>
      </c>
      <c r="R30" s="62"/>
    </row>
    <row r="31" spans="1:18" ht="15.75" thickBot="1" x14ac:dyDescent="0.3">
      <c r="A31" s="169"/>
      <c r="B31" s="170"/>
      <c r="C31" s="170"/>
      <c r="D31" s="170"/>
      <c r="E31" s="170"/>
      <c r="F31" s="170"/>
      <c r="G31" s="170"/>
      <c r="H31" s="170"/>
      <c r="I31" s="170"/>
      <c r="J31" s="170"/>
      <c r="K31" s="170"/>
      <c r="L31" s="170"/>
      <c r="M31" s="170"/>
      <c r="N31" s="170"/>
      <c r="O31" s="170"/>
      <c r="P31" s="171"/>
      <c r="Q31" s="156">
        <v>28</v>
      </c>
      <c r="R31" s="62"/>
    </row>
    <row r="32" spans="1:18" ht="15.75" thickBot="1" x14ac:dyDescent="0.3">
      <c r="A32" s="169"/>
      <c r="B32" s="170"/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1"/>
      <c r="Q32" s="156">
        <v>29</v>
      </c>
      <c r="R32" s="62"/>
    </row>
    <row r="33" spans="1:18" ht="15.75" thickBot="1" x14ac:dyDescent="0.3">
      <c r="A33" s="169"/>
      <c r="B33" s="170"/>
      <c r="C33" s="170"/>
      <c r="D33" s="170"/>
      <c r="E33" s="170"/>
      <c r="F33" s="170"/>
      <c r="G33" s="170"/>
      <c r="H33" s="170"/>
      <c r="I33" s="170"/>
      <c r="J33" s="170"/>
      <c r="K33" s="170"/>
      <c r="L33" s="170"/>
      <c r="M33" s="170"/>
      <c r="N33" s="170"/>
      <c r="O33" s="170"/>
      <c r="P33" s="171"/>
      <c r="Q33" s="156">
        <v>30</v>
      </c>
      <c r="R33" s="62"/>
    </row>
    <row r="34" spans="1:18" ht="15.75" thickBot="1" x14ac:dyDescent="0.3">
      <c r="A34" s="169"/>
      <c r="B34" s="170"/>
      <c r="C34" s="170"/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170"/>
      <c r="O34" s="170"/>
      <c r="P34" s="171"/>
      <c r="Q34" s="156">
        <v>31</v>
      </c>
      <c r="R34" s="62"/>
    </row>
    <row r="35" spans="1:18" ht="15.75" thickBot="1" x14ac:dyDescent="0.3">
      <c r="A35" s="169"/>
      <c r="B35" s="170"/>
      <c r="C35" s="170"/>
      <c r="D35" s="170"/>
      <c r="E35" s="170"/>
      <c r="F35" s="170"/>
      <c r="G35" s="170"/>
      <c r="H35" s="170"/>
      <c r="I35" s="170"/>
      <c r="J35" s="170"/>
      <c r="K35" s="170"/>
      <c r="L35" s="170"/>
      <c r="M35" s="170"/>
      <c r="N35" s="170"/>
      <c r="O35" s="170"/>
      <c r="P35" s="171"/>
      <c r="Q35" s="156">
        <v>32</v>
      </c>
      <c r="R35" s="62"/>
    </row>
    <row r="36" spans="1:18" ht="15.75" thickBot="1" x14ac:dyDescent="0.3">
      <c r="A36" s="172"/>
      <c r="B36" s="173"/>
      <c r="C36" s="173"/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4"/>
      <c r="Q36" s="156">
        <v>33</v>
      </c>
      <c r="R36" s="158"/>
    </row>
  </sheetData>
  <mergeCells count="16">
    <mergeCell ref="A26:P26"/>
    <mergeCell ref="H1:J1"/>
    <mergeCell ref="K1:M1"/>
    <mergeCell ref="B1:G1"/>
    <mergeCell ref="A24:P24"/>
    <mergeCell ref="A25:P25"/>
    <mergeCell ref="A33:P33"/>
    <mergeCell ref="A34:P34"/>
    <mergeCell ref="A35:P35"/>
    <mergeCell ref="A36:P36"/>
    <mergeCell ref="A27:P27"/>
    <mergeCell ref="A28:P28"/>
    <mergeCell ref="A29:P29"/>
    <mergeCell ref="A30:P30"/>
    <mergeCell ref="A31:P31"/>
    <mergeCell ref="A32:P32"/>
  </mergeCells>
  <conditionalFormatting sqref="B5:G5">
    <cfRule type="cellIs" dxfId="164" priority="6" operator="greaterThan">
      <formula>0</formula>
    </cfRule>
  </conditionalFormatting>
  <conditionalFormatting sqref="B7:G8">
    <cfRule type="cellIs" dxfId="163" priority="7" operator="lessThan">
      <formula>0</formula>
    </cfRule>
  </conditionalFormatting>
  <conditionalFormatting sqref="B7:G9">
    <cfRule type="cellIs" dxfId="162" priority="8" operator="greaterThan">
      <formula>0</formula>
    </cfRule>
  </conditionalFormatting>
  <conditionalFormatting sqref="B10:G14">
    <cfRule type="cellIs" dxfId="161" priority="5" operator="greaterThan">
      <formula>0</formula>
    </cfRule>
  </conditionalFormatting>
  <conditionalFormatting sqref="B16:G16">
    <cfRule type="cellIs" dxfId="160" priority="4" operator="greaterThan">
      <formula>0</formula>
    </cfRule>
  </conditionalFormatting>
  <conditionalFormatting sqref="B18:G20">
    <cfRule type="cellIs" dxfId="159" priority="2" operator="lessThan">
      <formula>0</formula>
    </cfRule>
    <cfRule type="cellIs" dxfId="158" priority="3" operator="greaterThan">
      <formula>0</formula>
    </cfRule>
  </conditionalFormatting>
  <conditionalFormatting sqref="B22:G23">
    <cfRule type="cellIs" dxfId="157" priority="1" operator="greaterThan">
      <formula>0</formula>
    </cfRule>
  </conditionalFormatting>
  <pageMargins left="0" right="0" top="0" bottom="0" header="0.31496062992125984" footer="0.31496062992125984"/>
  <pageSetup paperSize="9" scale="3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A0FA1-65CC-43B3-9036-6452D8562581}">
  <sheetPr>
    <tabColor theme="4" tint="0.59999389629810485"/>
  </sheetPr>
  <dimension ref="A1:AB118"/>
  <sheetViews>
    <sheetView topLeftCell="A7" workbookViewId="0">
      <selection activeCell="L9" sqref="L9:N9"/>
    </sheetView>
  </sheetViews>
  <sheetFormatPr baseColWidth="10" defaultRowHeight="15" x14ac:dyDescent="0.25"/>
  <cols>
    <col min="1" max="1" width="7.42578125" style="1" customWidth="1"/>
    <col min="2" max="2" width="60.42578125" bestFit="1" customWidth="1"/>
    <col min="3" max="5" width="14.42578125" bestFit="1" customWidth="1"/>
    <col min="6" max="6" width="13" bestFit="1" customWidth="1"/>
    <col min="7" max="7" width="14.42578125" bestFit="1" customWidth="1"/>
    <col min="8" max="8" width="17" bestFit="1" customWidth="1"/>
    <col min="9" max="10" width="18.140625" customWidth="1"/>
    <col min="11" max="11" width="12" bestFit="1" customWidth="1"/>
    <col min="12" max="12" width="16.42578125" bestFit="1" customWidth="1"/>
    <col min="13" max="13" width="15" bestFit="1" customWidth="1"/>
    <col min="14" max="14" width="16.42578125" bestFit="1" customWidth="1"/>
    <col min="15" max="15" width="16.85546875" bestFit="1" customWidth="1"/>
    <col min="16" max="16" width="20.42578125" bestFit="1" customWidth="1"/>
    <col min="17" max="17" width="17.42578125" bestFit="1" customWidth="1"/>
    <col min="18" max="19" width="14.85546875" bestFit="1" customWidth="1"/>
    <col min="20" max="20" width="14.7109375" bestFit="1" customWidth="1"/>
    <col min="21" max="21" width="20.140625" bestFit="1" customWidth="1"/>
    <col min="22" max="22" width="15.140625" bestFit="1" customWidth="1"/>
    <col min="23" max="23" width="17.28515625" bestFit="1" customWidth="1"/>
    <col min="24" max="24" width="19.28515625" bestFit="1" customWidth="1"/>
    <col min="25" max="25" width="17.140625" bestFit="1" customWidth="1"/>
    <col min="26" max="26" width="18" bestFit="1" customWidth="1"/>
    <col min="27" max="27" width="21.5703125" bestFit="1" customWidth="1"/>
    <col min="28" max="28" width="42.140625" customWidth="1"/>
  </cols>
  <sheetData>
    <row r="1" spans="1:28" ht="19.5" thickBot="1" x14ac:dyDescent="0.35">
      <c r="B1" s="68">
        <f>'NØKKELTALL OVERORDNET AVTALE '!A2</f>
        <v>46031</v>
      </c>
      <c r="I1" s="188" t="s">
        <v>174</v>
      </c>
      <c r="J1" s="189"/>
      <c r="K1" s="189"/>
      <c r="L1" s="47" t="s">
        <v>144</v>
      </c>
      <c r="M1" s="48" t="s">
        <v>145</v>
      </c>
      <c r="N1" s="48" t="s">
        <v>64</v>
      </c>
      <c r="O1" s="48" t="s">
        <v>46</v>
      </c>
      <c r="P1" s="49" t="s">
        <v>65</v>
      </c>
    </row>
    <row r="2" spans="1:28" x14ac:dyDescent="0.25">
      <c r="I2" s="169" t="s">
        <v>168</v>
      </c>
      <c r="J2" s="170"/>
      <c r="K2" s="170"/>
      <c r="L2" s="55">
        <f>-SUM(L47:L51)</f>
        <v>0</v>
      </c>
      <c r="M2" s="55">
        <f t="shared" ref="M2:P2" si="0">-SUM(M47:M51)</f>
        <v>1149863.47</v>
      </c>
      <c r="N2" s="55">
        <f t="shared" si="0"/>
        <v>1638755.24</v>
      </c>
      <c r="O2" s="55">
        <f t="shared" si="0"/>
        <v>2798754.82</v>
      </c>
      <c r="P2" s="56">
        <f t="shared" si="0"/>
        <v>5587373.5300000003</v>
      </c>
    </row>
    <row r="3" spans="1:28" x14ac:dyDescent="0.25">
      <c r="I3" s="169" t="s">
        <v>169</v>
      </c>
      <c r="J3" s="170"/>
      <c r="K3" s="170"/>
      <c r="L3" s="55">
        <f>-SUM(L52:L60)</f>
        <v>-18483.770000000004</v>
      </c>
      <c r="M3" s="55">
        <f t="shared" ref="M3:P3" si="1">-SUM(M52:M60)</f>
        <v>-903780.43000000017</v>
      </c>
      <c r="N3" s="55">
        <f t="shared" si="1"/>
        <v>-1039214.63</v>
      </c>
      <c r="O3" s="55">
        <f t="shared" si="1"/>
        <v>-1742941.09</v>
      </c>
      <c r="P3" s="56">
        <f t="shared" si="1"/>
        <v>-3704419.92</v>
      </c>
    </row>
    <row r="4" spans="1:28" x14ac:dyDescent="0.25">
      <c r="I4" s="186" t="s">
        <v>170</v>
      </c>
      <c r="J4" s="187"/>
      <c r="K4" s="187"/>
      <c r="L4" s="57">
        <f>L2+L3</f>
        <v>-18483.770000000004</v>
      </c>
      <c r="M4" s="57">
        <f t="shared" ref="M4:P4" si="2">M2+M3</f>
        <v>246083.0399999998</v>
      </c>
      <c r="N4" s="57">
        <f t="shared" si="2"/>
        <v>599540.61</v>
      </c>
      <c r="O4" s="57">
        <f t="shared" si="2"/>
        <v>1055813.7299999997</v>
      </c>
      <c r="P4" s="58">
        <f t="shared" si="2"/>
        <v>1882953.6100000003</v>
      </c>
    </row>
    <row r="5" spans="1:28" x14ac:dyDescent="0.25">
      <c r="I5" s="169" t="s">
        <v>171</v>
      </c>
      <c r="J5" s="170"/>
      <c r="K5" s="170"/>
      <c r="L5" s="53" t="e">
        <f>L4/L2</f>
        <v>#DIV/0!</v>
      </c>
      <c r="M5" s="53">
        <f t="shared" ref="M5:P5" si="3">M4/M2</f>
        <v>0.21401065989164766</v>
      </c>
      <c r="N5" s="53">
        <f t="shared" si="3"/>
        <v>0.36585122376176199</v>
      </c>
      <c r="O5" s="53">
        <f t="shared" si="3"/>
        <v>0.37724409528663172</v>
      </c>
      <c r="P5" s="54">
        <f t="shared" si="3"/>
        <v>0.33700156252127289</v>
      </c>
    </row>
    <row r="6" spans="1:28" x14ac:dyDescent="0.25">
      <c r="I6" s="190" t="s">
        <v>172</v>
      </c>
      <c r="J6" s="191"/>
      <c r="K6" s="191"/>
      <c r="L6" s="55">
        <f>SUM(L61:L109)</f>
        <v>11712.26</v>
      </c>
      <c r="M6" s="55">
        <f t="shared" ref="M6:P6" si="4">SUM(M61:M109)</f>
        <v>271597.71999999997</v>
      </c>
      <c r="N6" s="55">
        <f t="shared" si="4"/>
        <v>514894.13000000012</v>
      </c>
      <c r="O6" s="55">
        <f t="shared" si="4"/>
        <v>684389.71000000008</v>
      </c>
      <c r="P6" s="56">
        <f t="shared" si="4"/>
        <v>1482593.8199999996</v>
      </c>
    </row>
    <row r="7" spans="1:28" ht="15.75" thickBot="1" x14ac:dyDescent="0.3">
      <c r="I7" s="184" t="s">
        <v>173</v>
      </c>
      <c r="J7" s="185"/>
      <c r="K7" s="185"/>
      <c r="L7" s="51" t="e">
        <f>L6/L2</f>
        <v>#DIV/0!</v>
      </c>
      <c r="M7" s="51">
        <f t="shared" ref="M7:P7" si="5">M6/M2</f>
        <v>0.23619997250630109</v>
      </c>
      <c r="N7" s="51">
        <f t="shared" si="5"/>
        <v>0.31419831188457414</v>
      </c>
      <c r="O7" s="51">
        <f t="shared" si="5"/>
        <v>0.24453364228596491</v>
      </c>
      <c r="P7" s="52">
        <f t="shared" si="5"/>
        <v>0.26534718182695038</v>
      </c>
    </row>
    <row r="8" spans="1:28" ht="15.75" thickBot="1" x14ac:dyDescent="0.3"/>
    <row r="9" spans="1:28" ht="19.5" thickBot="1" x14ac:dyDescent="0.35">
      <c r="A9" s="34"/>
      <c r="B9" s="68"/>
      <c r="C9" s="66">
        <f>SUM(C11:C118)</f>
        <v>0</v>
      </c>
      <c r="D9" s="35">
        <f t="shared" ref="D9:J9" si="6">SUM(D11:D118)</f>
        <v>4.7293724492192268E-11</v>
      </c>
      <c r="E9" s="35">
        <f t="shared" si="6"/>
        <v>1.3096723705530167E-10</v>
      </c>
      <c r="F9" s="35">
        <f t="shared" si="6"/>
        <v>3.1832314562052488E-11</v>
      </c>
      <c r="G9" s="35">
        <f t="shared" si="6"/>
        <v>5.347828846424818E-10</v>
      </c>
      <c r="H9" s="35">
        <f t="shared" si="6"/>
        <v>6.9121597334742546E-11</v>
      </c>
      <c r="I9" s="35">
        <f t="shared" si="6"/>
        <v>-2.9103830456733704E-11</v>
      </c>
      <c r="J9" s="35">
        <f t="shared" si="6"/>
        <v>0</v>
      </c>
      <c r="K9" s="41"/>
      <c r="L9" s="42">
        <f>-SUM(L11:L116)</f>
        <v>-30196.030000000002</v>
      </c>
      <c r="M9" s="18">
        <f t="shared" ref="M9:P9" si="7">-SUM(M11:M116)</f>
        <v>-27393.340000000047</v>
      </c>
      <c r="N9" s="18">
        <f t="shared" si="7"/>
        <v>74123.079999999871</v>
      </c>
      <c r="O9" s="18">
        <f t="shared" si="7"/>
        <v>201059.02000000019</v>
      </c>
      <c r="P9" s="18">
        <f t="shared" si="7"/>
        <v>217592.72999999978</v>
      </c>
      <c r="Q9" s="18">
        <f>SUM(Q11:Q116)</f>
        <v>1146318.78</v>
      </c>
      <c r="R9" s="18">
        <f>-SUM(R11:R116)</f>
        <v>332022.73000000021</v>
      </c>
      <c r="S9" s="18">
        <f>SUM(S11:S116)</f>
        <v>-814296.04999999993</v>
      </c>
      <c r="T9" s="18">
        <f>-SUM(T11:T116)</f>
        <v>120000</v>
      </c>
      <c r="U9" s="18">
        <f>-SUM(U11:U116)</f>
        <v>212022.73000000019</v>
      </c>
      <c r="V9" s="18">
        <f>-SUM(V11:V116)</f>
        <v>676690.86</v>
      </c>
      <c r="W9" s="18">
        <f>-SUM(W11:W116)</f>
        <v>796690.86</v>
      </c>
      <c r="X9" s="18">
        <f>SUM(X11:X116)</f>
        <v>194616.71</v>
      </c>
      <c r="Y9" s="18">
        <f>SUM(Y11:Y116)</f>
        <v>325022.73000000004</v>
      </c>
      <c r="Z9" s="18">
        <f>SUM(Z11:Z116)</f>
        <v>-64508.749999999985</v>
      </c>
      <c r="AA9" s="19">
        <f>SUM(AA11:AA116)</f>
        <v>757096.88000000012</v>
      </c>
    </row>
    <row r="10" spans="1:28" ht="15.75" thickBot="1" x14ac:dyDescent="0.3">
      <c r="A10" s="25" t="s">
        <v>0</v>
      </c>
      <c r="B10" s="67" t="s">
        <v>1</v>
      </c>
      <c r="C10" s="8" t="s">
        <v>136</v>
      </c>
      <c r="D10" s="8" t="s">
        <v>137</v>
      </c>
      <c r="E10" s="8" t="s">
        <v>135</v>
      </c>
      <c r="F10" s="8" t="s">
        <v>54</v>
      </c>
      <c r="G10" s="8" t="s">
        <v>138</v>
      </c>
      <c r="H10" s="8" t="s">
        <v>55</v>
      </c>
      <c r="I10" s="9" t="s">
        <v>44</v>
      </c>
      <c r="J10" s="8" t="s">
        <v>45</v>
      </c>
      <c r="K10" s="36" t="s">
        <v>2</v>
      </c>
      <c r="L10" s="38" t="s">
        <v>144</v>
      </c>
      <c r="M10" s="39" t="s">
        <v>145</v>
      </c>
      <c r="N10" s="39" t="s">
        <v>64</v>
      </c>
      <c r="O10" s="39" t="s">
        <v>46</v>
      </c>
      <c r="P10" s="39" t="s">
        <v>65</v>
      </c>
      <c r="Q10" s="39" t="s">
        <v>47</v>
      </c>
      <c r="R10" s="39" t="s">
        <v>48</v>
      </c>
      <c r="S10" s="39" t="s">
        <v>49</v>
      </c>
      <c r="T10" s="39" t="s">
        <v>50</v>
      </c>
      <c r="U10" s="39" t="s">
        <v>59</v>
      </c>
      <c r="V10" s="39" t="s">
        <v>51</v>
      </c>
      <c r="W10" s="39" t="s">
        <v>52</v>
      </c>
      <c r="X10" s="39" t="s">
        <v>57</v>
      </c>
      <c r="Y10" s="39" t="s">
        <v>58</v>
      </c>
      <c r="Z10" s="39" t="s">
        <v>146</v>
      </c>
      <c r="AA10" s="40" t="s">
        <v>147</v>
      </c>
      <c r="AB10" s="37" t="s">
        <v>56</v>
      </c>
    </row>
    <row r="11" spans="1:28" x14ac:dyDescent="0.25">
      <c r="A11" s="30">
        <v>1396</v>
      </c>
      <c r="B11" s="31" t="s">
        <v>66</v>
      </c>
      <c r="C11" s="32">
        <v>0</v>
      </c>
      <c r="D11" s="32">
        <v>0</v>
      </c>
      <c r="E11" s="32">
        <v>7000</v>
      </c>
      <c r="F11" s="32">
        <v>7000</v>
      </c>
      <c r="G11" s="32">
        <v>0</v>
      </c>
      <c r="H11" s="32">
        <f>F11+G11</f>
        <v>7000</v>
      </c>
      <c r="I11" s="33">
        <v>0</v>
      </c>
      <c r="J11" s="32">
        <f>H11+I11</f>
        <v>7000</v>
      </c>
      <c r="K11" s="31" t="s">
        <v>4</v>
      </c>
      <c r="L11" s="159"/>
      <c r="M11" s="159"/>
      <c r="N11" s="159"/>
      <c r="O11" s="159"/>
      <c r="P11" s="159"/>
      <c r="Q11" s="160">
        <f>J11</f>
        <v>7000</v>
      </c>
      <c r="R11" s="159"/>
      <c r="S11" s="159"/>
      <c r="T11" s="159"/>
      <c r="U11" s="159"/>
      <c r="V11" s="160"/>
      <c r="W11" s="159"/>
      <c r="X11" s="160"/>
      <c r="Y11" s="160">
        <v>0</v>
      </c>
      <c r="Z11" s="161">
        <v>0</v>
      </c>
      <c r="AA11" s="161">
        <v>0</v>
      </c>
      <c r="AB11" s="28"/>
    </row>
    <row r="12" spans="1:28" x14ac:dyDescent="0.25">
      <c r="A12" s="43">
        <v>1461</v>
      </c>
      <c r="B12" s="44" t="s">
        <v>3</v>
      </c>
      <c r="C12" s="6">
        <v>32991.61</v>
      </c>
      <c r="D12" s="6">
        <v>324647.28999999998</v>
      </c>
      <c r="E12" s="6">
        <v>430000.29</v>
      </c>
      <c r="F12" s="6">
        <v>430000.29</v>
      </c>
      <c r="G12" s="6">
        <v>446605.34</v>
      </c>
      <c r="H12" s="6">
        <f t="shared" ref="H12:H95" si="8">F12+G12</f>
        <v>876605.63</v>
      </c>
      <c r="I12" s="26">
        <v>-55000</v>
      </c>
      <c r="J12" s="32">
        <f t="shared" ref="J12:J77" si="9">H12+I12</f>
        <v>821605.63</v>
      </c>
      <c r="K12" s="24" t="s">
        <v>4</v>
      </c>
      <c r="L12" s="162"/>
      <c r="M12" s="162"/>
      <c r="N12" s="162"/>
      <c r="O12" s="162"/>
      <c r="P12" s="162"/>
      <c r="Q12" s="163">
        <f t="shared" ref="Q12:Q27" si="10">J12</f>
        <v>821605.63</v>
      </c>
      <c r="R12" s="162"/>
      <c r="S12" s="162"/>
      <c r="T12" s="162"/>
      <c r="U12" s="162"/>
      <c r="V12" s="163"/>
      <c r="W12" s="162"/>
      <c r="X12" s="163"/>
      <c r="Y12" s="163">
        <f>Q12</f>
        <v>821605.63</v>
      </c>
      <c r="Z12" s="164">
        <v>0</v>
      </c>
      <c r="AA12" s="164">
        <f>Y12</f>
        <v>821605.63</v>
      </c>
      <c r="AB12" s="166" t="s">
        <v>150</v>
      </c>
    </row>
    <row r="13" spans="1:28" x14ac:dyDescent="0.25">
      <c r="A13" s="5">
        <v>1462</v>
      </c>
      <c r="B13" s="24" t="s">
        <v>68</v>
      </c>
      <c r="C13" s="6">
        <v>0</v>
      </c>
      <c r="D13" s="6">
        <v>-100</v>
      </c>
      <c r="E13" s="6">
        <v>34858.019999999997</v>
      </c>
      <c r="F13" s="6">
        <v>34858.019999999997</v>
      </c>
      <c r="G13" s="6">
        <v>-34858.019999999997</v>
      </c>
      <c r="H13" s="6">
        <f t="shared" si="8"/>
        <v>0</v>
      </c>
      <c r="I13" s="26">
        <v>0</v>
      </c>
      <c r="J13" s="32">
        <f t="shared" si="9"/>
        <v>0</v>
      </c>
      <c r="K13" s="24" t="s">
        <v>4</v>
      </c>
      <c r="L13" s="162"/>
      <c r="M13" s="162"/>
      <c r="N13" s="162"/>
      <c r="O13" s="162"/>
      <c r="P13" s="162"/>
      <c r="Q13" s="163">
        <f t="shared" si="10"/>
        <v>0</v>
      </c>
      <c r="R13" s="162"/>
      <c r="S13" s="162"/>
      <c r="T13" s="162"/>
      <c r="U13" s="162"/>
      <c r="V13" s="163"/>
      <c r="W13" s="162"/>
      <c r="X13" s="163"/>
      <c r="Y13" s="163">
        <v>0</v>
      </c>
      <c r="Z13" s="164">
        <v>0</v>
      </c>
      <c r="AA13" s="164">
        <f>Z13</f>
        <v>0</v>
      </c>
      <c r="AB13" s="29"/>
    </row>
    <row r="14" spans="1:28" x14ac:dyDescent="0.25">
      <c r="A14" s="43">
        <v>1463</v>
      </c>
      <c r="B14" s="44" t="s">
        <v>149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f t="shared" si="8"/>
        <v>0</v>
      </c>
      <c r="I14" s="26">
        <v>0</v>
      </c>
      <c r="J14" s="32">
        <f t="shared" si="9"/>
        <v>0</v>
      </c>
      <c r="K14" s="24"/>
      <c r="L14" s="162"/>
      <c r="M14" s="162"/>
      <c r="N14" s="162"/>
      <c r="O14" s="162"/>
      <c r="P14" s="162"/>
      <c r="Q14" s="163">
        <f>J14</f>
        <v>0</v>
      </c>
      <c r="R14" s="162"/>
      <c r="S14" s="162"/>
      <c r="T14" s="162"/>
      <c r="U14" s="162"/>
      <c r="V14" s="163"/>
      <c r="W14" s="162"/>
      <c r="X14" s="163"/>
      <c r="Y14" s="163">
        <f>Q14</f>
        <v>0</v>
      </c>
      <c r="Z14" s="164">
        <v>0</v>
      </c>
      <c r="AA14" s="164">
        <f>Q14</f>
        <v>0</v>
      </c>
      <c r="AB14" s="29" t="s">
        <v>222</v>
      </c>
    </row>
    <row r="15" spans="1:28" x14ac:dyDescent="0.25">
      <c r="A15" s="43">
        <v>1500</v>
      </c>
      <c r="B15" s="44" t="s">
        <v>5</v>
      </c>
      <c r="C15" s="6">
        <v>0</v>
      </c>
      <c r="D15" s="6">
        <v>24829.7</v>
      </c>
      <c r="E15" s="6">
        <v>192774.2</v>
      </c>
      <c r="F15" s="6">
        <v>192774.2</v>
      </c>
      <c r="G15" s="6">
        <v>75926.25</v>
      </c>
      <c r="H15" s="6">
        <f t="shared" si="8"/>
        <v>268700.45</v>
      </c>
      <c r="I15" s="26">
        <v>55000</v>
      </c>
      <c r="J15" s="32">
        <f t="shared" si="9"/>
        <v>323700.45</v>
      </c>
      <c r="K15" s="24" t="s">
        <v>4</v>
      </c>
      <c r="L15" s="162"/>
      <c r="M15" s="162"/>
      <c r="N15" s="162"/>
      <c r="O15" s="162"/>
      <c r="P15" s="162"/>
      <c r="Q15" s="163">
        <f t="shared" si="10"/>
        <v>323700.45</v>
      </c>
      <c r="R15" s="162"/>
      <c r="S15" s="162"/>
      <c r="T15" s="162"/>
      <c r="U15" s="162"/>
      <c r="V15" s="163"/>
      <c r="W15" s="162"/>
      <c r="X15" s="163">
        <f>139616.71+55000</f>
        <v>194616.71</v>
      </c>
      <c r="Y15" s="163">
        <f>Q15</f>
        <v>323700.45</v>
      </c>
      <c r="Z15" s="164">
        <f>Y15-X15</f>
        <v>129083.74000000002</v>
      </c>
      <c r="AA15" s="164">
        <f t="shared" ref="AA15:AA46" si="11">Z15</f>
        <v>129083.74000000002</v>
      </c>
      <c r="AB15" s="166" t="s">
        <v>224</v>
      </c>
    </row>
    <row r="16" spans="1:28" x14ac:dyDescent="0.25">
      <c r="A16" s="43">
        <v>1580</v>
      </c>
      <c r="B16" s="44" t="s">
        <v>151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f t="shared" si="8"/>
        <v>0</v>
      </c>
      <c r="I16" s="26">
        <v>-50000</v>
      </c>
      <c r="J16" s="32">
        <f t="shared" si="9"/>
        <v>-50000</v>
      </c>
      <c r="K16" s="24"/>
      <c r="L16" s="162"/>
      <c r="M16" s="162"/>
      <c r="N16" s="162"/>
      <c r="O16" s="162"/>
      <c r="P16" s="162"/>
      <c r="Q16" s="163">
        <f t="shared" si="10"/>
        <v>-50000</v>
      </c>
      <c r="R16" s="162"/>
      <c r="S16" s="162"/>
      <c r="T16" s="162"/>
      <c r="U16" s="162"/>
      <c r="V16" s="163"/>
      <c r="W16" s="162"/>
      <c r="X16" s="163"/>
      <c r="Y16" s="163">
        <f>Q16</f>
        <v>-50000</v>
      </c>
      <c r="Z16" s="164">
        <v>-50000</v>
      </c>
      <c r="AA16" s="164">
        <f>Z16</f>
        <v>-50000</v>
      </c>
      <c r="AB16" s="166" t="s">
        <v>152</v>
      </c>
    </row>
    <row r="17" spans="1:28" x14ac:dyDescent="0.25">
      <c r="A17" s="5">
        <v>1521</v>
      </c>
      <c r="B17" s="24" t="s">
        <v>71</v>
      </c>
      <c r="C17" s="6">
        <v>0</v>
      </c>
      <c r="D17" s="6">
        <v>277.5</v>
      </c>
      <c r="E17" s="6">
        <v>-3156.97</v>
      </c>
      <c r="F17" s="6">
        <v>-3156.97</v>
      </c>
      <c r="G17" s="6">
        <v>-4255.79</v>
      </c>
      <c r="H17" s="6">
        <f t="shared" si="8"/>
        <v>-7412.76</v>
      </c>
      <c r="I17" s="26">
        <v>0</v>
      </c>
      <c r="J17" s="32">
        <f t="shared" si="9"/>
        <v>-7412.76</v>
      </c>
      <c r="K17" s="24" t="s">
        <v>4</v>
      </c>
      <c r="L17" s="162"/>
      <c r="M17" s="162"/>
      <c r="N17" s="162"/>
      <c r="O17" s="162"/>
      <c r="P17" s="162"/>
      <c r="Q17" s="163">
        <f t="shared" si="10"/>
        <v>-7412.76</v>
      </c>
      <c r="R17" s="162"/>
      <c r="S17" s="162"/>
      <c r="T17" s="162"/>
      <c r="U17" s="162"/>
      <c r="V17" s="163"/>
      <c r="W17" s="162"/>
      <c r="X17" s="163"/>
      <c r="Y17" s="163">
        <f t="shared" ref="Y17:Y27" si="12">Q17</f>
        <v>-7412.76</v>
      </c>
      <c r="Z17" s="164">
        <f>Y17</f>
        <v>-7412.76</v>
      </c>
      <c r="AA17" s="164">
        <f t="shared" si="11"/>
        <v>-7412.76</v>
      </c>
      <c r="AB17" s="29"/>
    </row>
    <row r="18" spans="1:28" x14ac:dyDescent="0.25">
      <c r="A18" s="5">
        <v>1522</v>
      </c>
      <c r="B18" s="24" t="s">
        <v>72</v>
      </c>
      <c r="C18" s="6">
        <v>0</v>
      </c>
      <c r="D18" s="6">
        <v>-588</v>
      </c>
      <c r="E18" s="6">
        <v>-12489.04</v>
      </c>
      <c r="F18" s="6">
        <v>-12489.04</v>
      </c>
      <c r="G18" s="6">
        <v>10202.209999999999</v>
      </c>
      <c r="H18" s="6">
        <f t="shared" si="8"/>
        <v>-2286.8300000000017</v>
      </c>
      <c r="I18" s="26">
        <v>0</v>
      </c>
      <c r="J18" s="32">
        <f t="shared" si="9"/>
        <v>-2286.8300000000017</v>
      </c>
      <c r="K18" s="24" t="s">
        <v>4</v>
      </c>
      <c r="L18" s="162"/>
      <c r="M18" s="162"/>
      <c r="N18" s="162"/>
      <c r="O18" s="162"/>
      <c r="P18" s="162"/>
      <c r="Q18" s="163">
        <f t="shared" si="10"/>
        <v>-2286.8300000000017</v>
      </c>
      <c r="R18" s="162"/>
      <c r="S18" s="162"/>
      <c r="T18" s="162"/>
      <c r="U18" s="162"/>
      <c r="V18" s="163"/>
      <c r="W18" s="162"/>
      <c r="X18" s="163"/>
      <c r="Y18" s="163">
        <f t="shared" si="12"/>
        <v>-2286.8300000000017</v>
      </c>
      <c r="Z18" s="164">
        <f t="shared" ref="Z18:Z27" si="13">Y18</f>
        <v>-2286.8300000000017</v>
      </c>
      <c r="AA18" s="164">
        <f t="shared" si="11"/>
        <v>-2286.8300000000017</v>
      </c>
      <c r="AB18" s="29"/>
    </row>
    <row r="19" spans="1:28" x14ac:dyDescent="0.25">
      <c r="A19" s="5">
        <v>1523</v>
      </c>
      <c r="B19" s="24" t="s">
        <v>73</v>
      </c>
      <c r="C19" s="6">
        <v>0</v>
      </c>
      <c r="D19" s="6">
        <v>0</v>
      </c>
      <c r="E19" s="6">
        <v>0</v>
      </c>
      <c r="F19" s="6">
        <v>0</v>
      </c>
      <c r="G19" s="6">
        <v>2660</v>
      </c>
      <c r="H19" s="6">
        <f t="shared" si="8"/>
        <v>2660</v>
      </c>
      <c r="I19" s="26">
        <v>0</v>
      </c>
      <c r="J19" s="32">
        <f t="shared" si="9"/>
        <v>2660</v>
      </c>
      <c r="K19" s="24" t="s">
        <v>4</v>
      </c>
      <c r="L19" s="162"/>
      <c r="M19" s="162"/>
      <c r="N19" s="162"/>
      <c r="O19" s="162"/>
      <c r="P19" s="162"/>
      <c r="Q19" s="163">
        <f t="shared" si="10"/>
        <v>2660</v>
      </c>
      <c r="R19" s="162"/>
      <c r="S19" s="162"/>
      <c r="T19" s="162"/>
      <c r="U19" s="162"/>
      <c r="V19" s="163"/>
      <c r="W19" s="162"/>
      <c r="X19" s="163"/>
      <c r="Y19" s="163">
        <f t="shared" si="12"/>
        <v>2660</v>
      </c>
      <c r="Z19" s="164">
        <f t="shared" si="13"/>
        <v>2660</v>
      </c>
      <c r="AA19" s="164">
        <f t="shared" si="11"/>
        <v>2660</v>
      </c>
      <c r="AB19" s="29"/>
    </row>
    <row r="20" spans="1:28" x14ac:dyDescent="0.25">
      <c r="A20" s="5">
        <v>1575</v>
      </c>
      <c r="B20" s="24" t="s">
        <v>67</v>
      </c>
      <c r="C20" s="6">
        <v>-48861.88</v>
      </c>
      <c r="D20" s="6">
        <v>-175349.25</v>
      </c>
      <c r="E20" s="6">
        <v>0</v>
      </c>
      <c r="F20" s="6">
        <v>0</v>
      </c>
      <c r="G20" s="6">
        <v>0</v>
      </c>
      <c r="H20" s="6">
        <f t="shared" si="8"/>
        <v>0</v>
      </c>
      <c r="I20" s="26">
        <v>0</v>
      </c>
      <c r="J20" s="32">
        <f t="shared" si="9"/>
        <v>0</v>
      </c>
      <c r="K20" s="24"/>
      <c r="L20" s="162"/>
      <c r="M20" s="162"/>
      <c r="N20" s="162"/>
      <c r="O20" s="162"/>
      <c r="P20" s="162"/>
      <c r="Q20" s="163">
        <f t="shared" si="10"/>
        <v>0</v>
      </c>
      <c r="R20" s="162"/>
      <c r="S20" s="162"/>
      <c r="T20" s="162"/>
      <c r="U20" s="162"/>
      <c r="V20" s="163"/>
      <c r="W20" s="162"/>
      <c r="X20" s="163"/>
      <c r="Y20" s="163">
        <f t="shared" si="12"/>
        <v>0</v>
      </c>
      <c r="Z20" s="164">
        <f t="shared" si="13"/>
        <v>0</v>
      </c>
      <c r="AA20" s="164">
        <f t="shared" si="11"/>
        <v>0</v>
      </c>
      <c r="AB20" s="29"/>
    </row>
    <row r="21" spans="1:28" x14ac:dyDescent="0.25">
      <c r="A21" s="5">
        <v>1577</v>
      </c>
      <c r="B21" s="5" t="s">
        <v>74</v>
      </c>
      <c r="C21" s="6">
        <v>0</v>
      </c>
      <c r="D21" s="6">
        <v>-64475.57</v>
      </c>
      <c r="E21" s="6">
        <v>0</v>
      </c>
      <c r="F21" s="6">
        <v>0</v>
      </c>
      <c r="G21" s="6">
        <v>0</v>
      </c>
      <c r="H21" s="6">
        <f t="shared" si="8"/>
        <v>0</v>
      </c>
      <c r="I21" s="26">
        <v>0</v>
      </c>
      <c r="J21" s="32">
        <f t="shared" si="9"/>
        <v>0</v>
      </c>
      <c r="K21" s="24"/>
      <c r="L21" s="162"/>
      <c r="M21" s="162"/>
      <c r="N21" s="162"/>
      <c r="O21" s="162"/>
      <c r="P21" s="162"/>
      <c r="Q21" s="163">
        <f t="shared" si="10"/>
        <v>0</v>
      </c>
      <c r="R21" s="162"/>
      <c r="S21" s="162"/>
      <c r="T21" s="162"/>
      <c r="U21" s="162"/>
      <c r="V21" s="163"/>
      <c r="W21" s="162"/>
      <c r="X21" s="163"/>
      <c r="Y21" s="163">
        <f t="shared" si="12"/>
        <v>0</v>
      </c>
      <c r="Z21" s="164">
        <f t="shared" si="13"/>
        <v>0</v>
      </c>
      <c r="AA21" s="164">
        <f t="shared" si="11"/>
        <v>0</v>
      </c>
      <c r="AB21" s="29"/>
    </row>
    <row r="22" spans="1:28" x14ac:dyDescent="0.25">
      <c r="A22" s="5">
        <v>1749</v>
      </c>
      <c r="B22" s="24" t="s">
        <v>75</v>
      </c>
      <c r="C22" s="6">
        <v>0</v>
      </c>
      <c r="D22" s="6">
        <v>0</v>
      </c>
      <c r="E22" s="6">
        <v>0</v>
      </c>
      <c r="F22" s="6">
        <v>0</v>
      </c>
      <c r="G22" s="6">
        <v>200</v>
      </c>
      <c r="H22" s="6">
        <f t="shared" si="8"/>
        <v>200</v>
      </c>
      <c r="I22" s="26">
        <v>0</v>
      </c>
      <c r="J22" s="32">
        <f t="shared" si="9"/>
        <v>200</v>
      </c>
      <c r="K22" s="24" t="s">
        <v>4</v>
      </c>
      <c r="L22" s="162"/>
      <c r="M22" s="162"/>
      <c r="N22" s="162"/>
      <c r="O22" s="162"/>
      <c r="P22" s="162"/>
      <c r="Q22" s="163">
        <f t="shared" si="10"/>
        <v>200</v>
      </c>
      <c r="R22" s="162"/>
      <c r="S22" s="162"/>
      <c r="T22" s="162"/>
      <c r="U22" s="162"/>
      <c r="V22" s="163"/>
      <c r="W22" s="162"/>
      <c r="X22" s="163"/>
      <c r="Y22" s="163">
        <f t="shared" si="12"/>
        <v>200</v>
      </c>
      <c r="Z22" s="164">
        <f t="shared" si="13"/>
        <v>200</v>
      </c>
      <c r="AA22" s="164">
        <f t="shared" si="11"/>
        <v>200</v>
      </c>
      <c r="AB22" s="29"/>
    </row>
    <row r="23" spans="1:28" x14ac:dyDescent="0.25">
      <c r="A23" s="5">
        <v>1901</v>
      </c>
      <c r="B23" s="24" t="s">
        <v>76</v>
      </c>
      <c r="C23" s="6">
        <v>0</v>
      </c>
      <c r="D23" s="6">
        <v>918</v>
      </c>
      <c r="E23" s="6">
        <v>2103</v>
      </c>
      <c r="F23" s="6">
        <v>2103</v>
      </c>
      <c r="G23" s="6">
        <v>-622</v>
      </c>
      <c r="H23" s="6">
        <f t="shared" si="8"/>
        <v>1481</v>
      </c>
      <c r="I23" s="26">
        <v>0</v>
      </c>
      <c r="J23" s="32">
        <f t="shared" si="9"/>
        <v>1481</v>
      </c>
      <c r="K23" s="24" t="s">
        <v>4</v>
      </c>
      <c r="L23" s="162"/>
      <c r="M23" s="162"/>
      <c r="N23" s="162"/>
      <c r="O23" s="162"/>
      <c r="P23" s="162"/>
      <c r="Q23" s="163">
        <f t="shared" si="10"/>
        <v>1481</v>
      </c>
      <c r="R23" s="162"/>
      <c r="S23" s="162"/>
      <c r="T23" s="162"/>
      <c r="U23" s="162"/>
      <c r="V23" s="163"/>
      <c r="W23" s="162"/>
      <c r="X23" s="163"/>
      <c r="Y23" s="163">
        <f t="shared" si="12"/>
        <v>1481</v>
      </c>
      <c r="Z23" s="164">
        <f t="shared" si="13"/>
        <v>1481</v>
      </c>
      <c r="AA23" s="164">
        <f t="shared" si="11"/>
        <v>1481</v>
      </c>
      <c r="AB23" s="29"/>
    </row>
    <row r="24" spans="1:28" x14ac:dyDescent="0.25">
      <c r="A24" s="5">
        <v>1909</v>
      </c>
      <c r="B24" s="24" t="s">
        <v>77</v>
      </c>
      <c r="C24" s="6">
        <v>0</v>
      </c>
      <c r="D24" s="6">
        <v>70</v>
      </c>
      <c r="E24" s="6">
        <v>5952.7</v>
      </c>
      <c r="F24" s="6">
        <v>5952.7</v>
      </c>
      <c r="G24" s="6">
        <v>-1979.72</v>
      </c>
      <c r="H24" s="6">
        <f t="shared" si="8"/>
        <v>3972.9799999999996</v>
      </c>
      <c r="I24" s="26">
        <v>0</v>
      </c>
      <c r="J24" s="32">
        <f t="shared" si="9"/>
        <v>3972.9799999999996</v>
      </c>
      <c r="K24" s="24" t="s">
        <v>4</v>
      </c>
      <c r="L24" s="162"/>
      <c r="M24" s="162"/>
      <c r="N24" s="162"/>
      <c r="O24" s="162"/>
      <c r="P24" s="162"/>
      <c r="Q24" s="163">
        <f t="shared" si="10"/>
        <v>3972.9799999999996</v>
      </c>
      <c r="R24" s="162"/>
      <c r="S24" s="162"/>
      <c r="T24" s="162"/>
      <c r="U24" s="162"/>
      <c r="V24" s="163"/>
      <c r="W24" s="162"/>
      <c r="X24" s="163"/>
      <c r="Y24" s="163">
        <f t="shared" si="12"/>
        <v>3972.9799999999996</v>
      </c>
      <c r="Z24" s="164">
        <f t="shared" si="13"/>
        <v>3972.9799999999996</v>
      </c>
      <c r="AA24" s="164">
        <f t="shared" si="11"/>
        <v>3972.9799999999996</v>
      </c>
      <c r="AB24" s="29"/>
    </row>
    <row r="25" spans="1:28" x14ac:dyDescent="0.25">
      <c r="A25" s="5">
        <v>19201</v>
      </c>
      <c r="B25" s="24" t="s">
        <v>69</v>
      </c>
      <c r="C25" s="6">
        <v>38334.410000000003</v>
      </c>
      <c r="D25" s="6">
        <v>72446.850000000006</v>
      </c>
      <c r="E25" s="6">
        <v>29810.28</v>
      </c>
      <c r="F25" s="6">
        <v>29810.28</v>
      </c>
      <c r="G25" s="6">
        <v>8633.0300000000007</v>
      </c>
      <c r="H25" s="6">
        <f t="shared" si="8"/>
        <v>38443.31</v>
      </c>
      <c r="I25" s="26">
        <v>0</v>
      </c>
      <c r="J25" s="32">
        <f t="shared" si="9"/>
        <v>38443.31</v>
      </c>
      <c r="K25" s="24" t="s">
        <v>70</v>
      </c>
      <c r="L25" s="162"/>
      <c r="M25" s="162"/>
      <c r="N25" s="162"/>
      <c r="O25" s="162"/>
      <c r="P25" s="162"/>
      <c r="Q25" s="163">
        <f t="shared" si="10"/>
        <v>38443.31</v>
      </c>
      <c r="R25" s="162"/>
      <c r="S25" s="162"/>
      <c r="T25" s="162"/>
      <c r="U25" s="162"/>
      <c r="V25" s="163"/>
      <c r="W25" s="162"/>
      <c r="X25" s="163"/>
      <c r="Y25" s="163">
        <f t="shared" si="12"/>
        <v>38443.31</v>
      </c>
      <c r="Z25" s="164">
        <f t="shared" si="13"/>
        <v>38443.31</v>
      </c>
      <c r="AA25" s="164">
        <f t="shared" si="11"/>
        <v>38443.31</v>
      </c>
      <c r="AB25" s="29"/>
    </row>
    <row r="26" spans="1:28" x14ac:dyDescent="0.25">
      <c r="A26" s="5">
        <v>19501</v>
      </c>
      <c r="B26" s="24" t="s">
        <v>78</v>
      </c>
      <c r="C26" s="6">
        <v>0</v>
      </c>
      <c r="D26" s="6">
        <v>0</v>
      </c>
      <c r="E26" s="6">
        <v>10166</v>
      </c>
      <c r="F26" s="6">
        <v>10166</v>
      </c>
      <c r="G26" s="6">
        <v>-8070</v>
      </c>
      <c r="H26" s="6">
        <f t="shared" si="8"/>
        <v>2096</v>
      </c>
      <c r="I26" s="26">
        <v>0</v>
      </c>
      <c r="J26" s="32">
        <f t="shared" si="9"/>
        <v>2096</v>
      </c>
      <c r="K26" s="24" t="s">
        <v>79</v>
      </c>
      <c r="L26" s="162"/>
      <c r="M26" s="162"/>
      <c r="N26" s="162"/>
      <c r="O26" s="162"/>
      <c r="P26" s="162"/>
      <c r="Q26" s="163">
        <f t="shared" si="10"/>
        <v>2096</v>
      </c>
      <c r="R26" s="162"/>
      <c r="S26" s="162"/>
      <c r="T26" s="162"/>
      <c r="U26" s="162"/>
      <c r="V26" s="163"/>
      <c r="W26" s="162"/>
      <c r="X26" s="163"/>
      <c r="Y26" s="163">
        <f t="shared" si="12"/>
        <v>2096</v>
      </c>
      <c r="Z26" s="164">
        <f t="shared" si="13"/>
        <v>2096</v>
      </c>
      <c r="AA26" s="164">
        <f t="shared" si="11"/>
        <v>2096</v>
      </c>
      <c r="AB26" s="29"/>
    </row>
    <row r="27" spans="1:28" x14ac:dyDescent="0.25">
      <c r="A27" s="5">
        <v>19601</v>
      </c>
      <c r="B27" s="24" t="s">
        <v>80</v>
      </c>
      <c r="C27" s="6">
        <v>0</v>
      </c>
      <c r="D27" s="6">
        <v>0</v>
      </c>
      <c r="E27" s="6">
        <v>696</v>
      </c>
      <c r="F27" s="6">
        <v>696</v>
      </c>
      <c r="G27" s="6">
        <v>4163</v>
      </c>
      <c r="H27" s="6">
        <f t="shared" si="8"/>
        <v>4859</v>
      </c>
      <c r="I27" s="26">
        <v>0</v>
      </c>
      <c r="J27" s="32">
        <f t="shared" si="9"/>
        <v>4859</v>
      </c>
      <c r="K27" s="24" t="s">
        <v>4</v>
      </c>
      <c r="L27" s="162"/>
      <c r="M27" s="162"/>
      <c r="N27" s="162"/>
      <c r="O27" s="162"/>
      <c r="P27" s="162"/>
      <c r="Q27" s="163">
        <f t="shared" si="10"/>
        <v>4859</v>
      </c>
      <c r="R27" s="162"/>
      <c r="S27" s="162"/>
      <c r="T27" s="162"/>
      <c r="U27" s="162"/>
      <c r="V27" s="163"/>
      <c r="W27" s="162"/>
      <c r="X27" s="163"/>
      <c r="Y27" s="163">
        <f t="shared" si="12"/>
        <v>4859</v>
      </c>
      <c r="Z27" s="164">
        <f t="shared" si="13"/>
        <v>4859</v>
      </c>
      <c r="AA27" s="164">
        <f t="shared" si="11"/>
        <v>4859</v>
      </c>
      <c r="AB27" s="29"/>
    </row>
    <row r="28" spans="1:28" x14ac:dyDescent="0.25">
      <c r="A28" s="5">
        <v>2000</v>
      </c>
      <c r="B28" s="24" t="s">
        <v>9</v>
      </c>
      <c r="C28" s="6">
        <v>-60000</v>
      </c>
      <c r="D28" s="6">
        <v>-120000</v>
      </c>
      <c r="E28" s="6">
        <v>-120000</v>
      </c>
      <c r="F28" s="6">
        <v>-120000</v>
      </c>
      <c r="G28" s="6">
        <v>0</v>
      </c>
      <c r="H28" s="6">
        <f t="shared" si="8"/>
        <v>-120000</v>
      </c>
      <c r="I28" s="26">
        <v>0</v>
      </c>
      <c r="J28" s="32">
        <f t="shared" si="9"/>
        <v>-120000</v>
      </c>
      <c r="K28" s="24" t="s">
        <v>4</v>
      </c>
      <c r="L28" s="162"/>
      <c r="M28" s="162"/>
      <c r="N28" s="162"/>
      <c r="O28" s="162"/>
      <c r="P28" s="162"/>
      <c r="Q28" s="162"/>
      <c r="R28" s="163">
        <f>J28</f>
        <v>-120000</v>
      </c>
      <c r="S28" s="162"/>
      <c r="T28" s="163">
        <f>R28</f>
        <v>-120000</v>
      </c>
      <c r="U28" s="162"/>
      <c r="V28" s="163"/>
      <c r="W28" s="163">
        <f>T28</f>
        <v>-120000</v>
      </c>
      <c r="X28" s="163"/>
      <c r="Y28" s="163"/>
      <c r="Z28" s="164">
        <v>0</v>
      </c>
      <c r="AA28" s="164">
        <f t="shared" si="11"/>
        <v>0</v>
      </c>
      <c r="AB28" s="29"/>
    </row>
    <row r="29" spans="1:28" x14ac:dyDescent="0.25">
      <c r="A29" s="5">
        <v>2036</v>
      </c>
      <c r="B29" s="24" t="s">
        <v>141</v>
      </c>
      <c r="C29" s="6">
        <v>5570</v>
      </c>
      <c r="D29" s="6">
        <v>0</v>
      </c>
      <c r="E29" s="6">
        <v>0</v>
      </c>
      <c r="F29" s="6">
        <v>0</v>
      </c>
      <c r="G29" s="6">
        <v>0</v>
      </c>
      <c r="H29" s="6">
        <f t="shared" si="8"/>
        <v>0</v>
      </c>
      <c r="I29" s="26">
        <v>0</v>
      </c>
      <c r="J29" s="32">
        <f t="shared" si="9"/>
        <v>0</v>
      </c>
      <c r="K29" s="24"/>
      <c r="L29" s="162"/>
      <c r="M29" s="162"/>
      <c r="N29" s="162"/>
      <c r="O29" s="162"/>
      <c r="P29" s="162"/>
      <c r="Q29" s="162"/>
      <c r="R29" s="163">
        <f t="shared" ref="R29:R31" si="14">J29</f>
        <v>0</v>
      </c>
      <c r="S29" s="162"/>
      <c r="T29" s="162"/>
      <c r="U29" s="162"/>
      <c r="V29" s="163"/>
      <c r="W29" s="162"/>
      <c r="X29" s="163"/>
      <c r="Y29" s="163"/>
      <c r="Z29" s="164">
        <v>0</v>
      </c>
      <c r="AA29" s="164">
        <f t="shared" si="11"/>
        <v>0</v>
      </c>
      <c r="AB29" s="29"/>
    </row>
    <row r="30" spans="1:28" x14ac:dyDescent="0.25">
      <c r="A30" s="43">
        <v>2050</v>
      </c>
      <c r="B30" s="44" t="s">
        <v>12</v>
      </c>
      <c r="C30" s="6">
        <v>0</v>
      </c>
      <c r="D30" s="6">
        <v>0</v>
      </c>
      <c r="E30" s="6">
        <v>-10963.71</v>
      </c>
      <c r="F30" s="6">
        <v>-10963.71</v>
      </c>
      <c r="G30" s="6">
        <v>0</v>
      </c>
      <c r="H30" s="6">
        <f t="shared" si="8"/>
        <v>-10963.71</v>
      </c>
      <c r="I30" s="26">
        <f>-O9</f>
        <v>-201059.02000000019</v>
      </c>
      <c r="J30" s="32">
        <f t="shared" si="9"/>
        <v>-212022.73000000019</v>
      </c>
      <c r="K30" s="24" t="s">
        <v>4</v>
      </c>
      <c r="L30" s="162"/>
      <c r="M30" s="162"/>
      <c r="N30" s="162"/>
      <c r="O30" s="162"/>
      <c r="P30" s="162"/>
      <c r="Q30" s="162"/>
      <c r="R30" s="163">
        <f t="shared" si="14"/>
        <v>-212022.73000000019</v>
      </c>
      <c r="S30" s="162"/>
      <c r="T30" s="162"/>
      <c r="U30" s="163">
        <f>R30</f>
        <v>-212022.73000000019</v>
      </c>
      <c r="V30" s="163"/>
      <c r="W30" s="162"/>
      <c r="X30" s="163"/>
      <c r="Y30" s="163"/>
      <c r="Z30" s="164">
        <v>0</v>
      </c>
      <c r="AA30" s="164">
        <f t="shared" si="11"/>
        <v>0</v>
      </c>
      <c r="AB30" s="166" t="s">
        <v>159</v>
      </c>
    </row>
    <row r="31" spans="1:28" x14ac:dyDescent="0.25">
      <c r="A31" s="5">
        <v>2080</v>
      </c>
      <c r="B31" s="24" t="s">
        <v>142</v>
      </c>
      <c r="C31" s="6">
        <v>30196.03</v>
      </c>
      <c r="D31" s="6">
        <v>63159.37</v>
      </c>
      <c r="E31" s="6">
        <v>0</v>
      </c>
      <c r="F31" s="6">
        <v>0</v>
      </c>
      <c r="G31" s="6">
        <v>0</v>
      </c>
      <c r="H31" s="6">
        <f t="shared" si="8"/>
        <v>0</v>
      </c>
      <c r="I31" s="26">
        <v>0</v>
      </c>
      <c r="J31" s="32">
        <f t="shared" si="9"/>
        <v>0</v>
      </c>
      <c r="K31" s="24"/>
      <c r="L31" s="162"/>
      <c r="M31" s="162"/>
      <c r="N31" s="162"/>
      <c r="O31" s="162"/>
      <c r="P31" s="162"/>
      <c r="Q31" s="162"/>
      <c r="R31" s="163">
        <f t="shared" si="14"/>
        <v>0</v>
      </c>
      <c r="S31" s="162"/>
      <c r="T31" s="162"/>
      <c r="U31" s="162"/>
      <c r="V31" s="163"/>
      <c r="W31" s="162"/>
      <c r="X31" s="163"/>
      <c r="Y31" s="163"/>
      <c r="Z31" s="164">
        <v>0</v>
      </c>
      <c r="AA31" s="164">
        <f t="shared" si="11"/>
        <v>0</v>
      </c>
      <c r="AB31" s="29"/>
    </row>
    <row r="32" spans="1:28" x14ac:dyDescent="0.25">
      <c r="A32" s="43">
        <v>2400</v>
      </c>
      <c r="B32" s="44" t="s">
        <v>15</v>
      </c>
      <c r="C32" s="6">
        <v>-10367.17</v>
      </c>
      <c r="D32" s="6">
        <v>-75258.89</v>
      </c>
      <c r="E32" s="6">
        <v>-244456.97</v>
      </c>
      <c r="F32" s="6">
        <v>-244456.97</v>
      </c>
      <c r="G32" s="6">
        <v>233263.1</v>
      </c>
      <c r="H32" s="6">
        <f t="shared" si="8"/>
        <v>-11193.869999999995</v>
      </c>
      <c r="I32" s="26">
        <v>0</v>
      </c>
      <c r="J32" s="32">
        <f t="shared" si="9"/>
        <v>-11193.869999999995</v>
      </c>
      <c r="K32" s="24" t="s">
        <v>4</v>
      </c>
      <c r="L32" s="162"/>
      <c r="M32" s="162"/>
      <c r="N32" s="162"/>
      <c r="O32" s="162"/>
      <c r="P32" s="162"/>
      <c r="Q32" s="162"/>
      <c r="R32" s="162"/>
      <c r="S32" s="163">
        <f>J32</f>
        <v>-11193.869999999995</v>
      </c>
      <c r="T32" s="162"/>
      <c r="U32" s="162"/>
      <c r="V32" s="163">
        <v>-50000</v>
      </c>
      <c r="W32" s="163">
        <f>V32</f>
        <v>-50000</v>
      </c>
      <c r="X32" s="163"/>
      <c r="Y32" s="163">
        <f>S32</f>
        <v>-11193.869999999995</v>
      </c>
      <c r="Z32" s="164">
        <f>Y32</f>
        <v>-11193.869999999995</v>
      </c>
      <c r="AA32" s="164">
        <f t="shared" si="11"/>
        <v>-11193.869999999995</v>
      </c>
      <c r="AB32" s="166" t="s">
        <v>148</v>
      </c>
    </row>
    <row r="33" spans="1:28" x14ac:dyDescent="0.25">
      <c r="A33" s="43">
        <v>2500</v>
      </c>
      <c r="B33" s="44" t="s">
        <v>83</v>
      </c>
      <c r="C33" s="6">
        <v>0</v>
      </c>
      <c r="D33" s="6">
        <v>0</v>
      </c>
      <c r="E33" s="6">
        <v>-3105</v>
      </c>
      <c r="F33" s="6">
        <v>-3105</v>
      </c>
      <c r="G33" s="6">
        <v>0</v>
      </c>
      <c r="H33" s="6">
        <f t="shared" si="8"/>
        <v>-3105</v>
      </c>
      <c r="I33" s="26">
        <f>-I116</f>
        <v>-56708.959999999999</v>
      </c>
      <c r="J33" s="32">
        <f t="shared" si="9"/>
        <v>-59813.96</v>
      </c>
      <c r="K33" s="24" t="s">
        <v>4</v>
      </c>
      <c r="L33" s="162"/>
      <c r="M33" s="162"/>
      <c r="N33" s="162"/>
      <c r="O33" s="162"/>
      <c r="P33" s="162"/>
      <c r="Q33" s="162"/>
      <c r="R33" s="162"/>
      <c r="S33" s="163">
        <f t="shared" ref="S33:S46" si="15">J33</f>
        <v>-59813.96</v>
      </c>
      <c r="T33" s="162"/>
      <c r="U33" s="162"/>
      <c r="V33" s="163"/>
      <c r="W33" s="162"/>
      <c r="X33" s="163"/>
      <c r="Y33" s="163">
        <f t="shared" ref="Y33:Y46" si="16">S33</f>
        <v>-59813.96</v>
      </c>
      <c r="Z33" s="164">
        <f t="shared" ref="Z33:Z43" si="17">Y33</f>
        <v>-59813.96</v>
      </c>
      <c r="AA33" s="164">
        <f t="shared" si="11"/>
        <v>-59813.96</v>
      </c>
      <c r="AB33" s="166" t="s">
        <v>156</v>
      </c>
    </row>
    <row r="34" spans="1:28" x14ac:dyDescent="0.25">
      <c r="A34" s="5">
        <v>2600</v>
      </c>
      <c r="B34" s="24" t="s">
        <v>85</v>
      </c>
      <c r="C34" s="6">
        <v>0</v>
      </c>
      <c r="D34" s="6">
        <v>0</v>
      </c>
      <c r="E34" s="6">
        <v>-10166</v>
      </c>
      <c r="F34" s="6">
        <v>-10166</v>
      </c>
      <c r="G34" s="6">
        <v>8070</v>
      </c>
      <c r="H34" s="6">
        <f t="shared" si="8"/>
        <v>-2096</v>
      </c>
      <c r="I34" s="26">
        <v>0</v>
      </c>
      <c r="J34" s="32">
        <f t="shared" si="9"/>
        <v>-2096</v>
      </c>
      <c r="K34" s="24" t="s">
        <v>4</v>
      </c>
      <c r="L34" s="162"/>
      <c r="M34" s="162"/>
      <c r="N34" s="162"/>
      <c r="O34" s="162"/>
      <c r="P34" s="162"/>
      <c r="Q34" s="162"/>
      <c r="R34" s="162"/>
      <c r="S34" s="163">
        <f t="shared" si="15"/>
        <v>-2096</v>
      </c>
      <c r="T34" s="162"/>
      <c r="U34" s="162"/>
      <c r="V34" s="163"/>
      <c r="W34" s="162"/>
      <c r="X34" s="163"/>
      <c r="Y34" s="163">
        <f t="shared" si="16"/>
        <v>-2096</v>
      </c>
      <c r="Z34" s="164">
        <f t="shared" si="17"/>
        <v>-2096</v>
      </c>
      <c r="AA34" s="164">
        <f t="shared" si="11"/>
        <v>-2096</v>
      </c>
      <c r="AB34" s="29"/>
    </row>
    <row r="35" spans="1:28" x14ac:dyDescent="0.25">
      <c r="A35" s="5">
        <v>2701</v>
      </c>
      <c r="B35" s="24" t="s">
        <v>16</v>
      </c>
      <c r="C35" s="6">
        <v>0</v>
      </c>
      <c r="D35" s="6">
        <v>0</v>
      </c>
      <c r="E35" s="6">
        <v>0</v>
      </c>
      <c r="F35" s="6">
        <v>0</v>
      </c>
      <c r="G35" s="6">
        <v>-215144.06</v>
      </c>
      <c r="H35" s="6">
        <f t="shared" si="8"/>
        <v>-215144.06</v>
      </c>
      <c r="I35" s="26">
        <v>0</v>
      </c>
      <c r="J35" s="32">
        <f t="shared" si="9"/>
        <v>-215144.06</v>
      </c>
      <c r="K35" s="24" t="s">
        <v>4</v>
      </c>
      <c r="L35" s="162"/>
      <c r="M35" s="162"/>
      <c r="N35" s="162"/>
      <c r="O35" s="162"/>
      <c r="P35" s="162"/>
      <c r="Q35" s="162"/>
      <c r="R35" s="162"/>
      <c r="S35" s="163">
        <f t="shared" si="15"/>
        <v>-215144.06</v>
      </c>
      <c r="T35" s="162"/>
      <c r="U35" s="162"/>
      <c r="V35" s="163"/>
      <c r="W35" s="162"/>
      <c r="X35" s="163"/>
      <c r="Y35" s="163">
        <f t="shared" si="16"/>
        <v>-215144.06</v>
      </c>
      <c r="Z35" s="164">
        <f t="shared" si="17"/>
        <v>-215144.06</v>
      </c>
      <c r="AA35" s="164">
        <f t="shared" si="11"/>
        <v>-215144.06</v>
      </c>
      <c r="AB35" s="29"/>
    </row>
    <row r="36" spans="1:28" x14ac:dyDescent="0.25">
      <c r="A36" s="5">
        <v>2702</v>
      </c>
      <c r="B36" s="24" t="s">
        <v>88</v>
      </c>
      <c r="C36" s="6">
        <v>0</v>
      </c>
      <c r="D36" s="6">
        <v>0</v>
      </c>
      <c r="E36" s="6">
        <v>0</v>
      </c>
      <c r="F36" s="6">
        <v>0</v>
      </c>
      <c r="G36" s="6">
        <v>-173.96</v>
      </c>
      <c r="H36" s="6">
        <f t="shared" si="8"/>
        <v>-173.96</v>
      </c>
      <c r="I36" s="26">
        <v>0</v>
      </c>
      <c r="J36" s="32">
        <f t="shared" si="9"/>
        <v>-173.96</v>
      </c>
      <c r="K36" s="24" t="s">
        <v>4</v>
      </c>
      <c r="L36" s="162"/>
      <c r="M36" s="162"/>
      <c r="N36" s="162"/>
      <c r="O36" s="162"/>
      <c r="P36" s="162"/>
      <c r="Q36" s="162"/>
      <c r="R36" s="162"/>
      <c r="S36" s="163">
        <f t="shared" si="15"/>
        <v>-173.96</v>
      </c>
      <c r="T36" s="162"/>
      <c r="U36" s="162"/>
      <c r="V36" s="163"/>
      <c r="W36" s="162"/>
      <c r="X36" s="163"/>
      <c r="Y36" s="163">
        <f t="shared" si="16"/>
        <v>-173.96</v>
      </c>
      <c r="Z36" s="164">
        <f t="shared" si="17"/>
        <v>-173.96</v>
      </c>
      <c r="AA36" s="164">
        <f t="shared" si="11"/>
        <v>-173.96</v>
      </c>
      <c r="AB36" s="29"/>
    </row>
    <row r="37" spans="1:28" x14ac:dyDescent="0.25">
      <c r="A37" s="5">
        <v>2703</v>
      </c>
      <c r="B37" s="24" t="s">
        <v>90</v>
      </c>
      <c r="C37" s="6">
        <v>0</v>
      </c>
      <c r="D37" s="6">
        <v>0</v>
      </c>
      <c r="E37" s="6">
        <v>0</v>
      </c>
      <c r="F37" s="6">
        <v>0</v>
      </c>
      <c r="G37" s="6">
        <v>-646.54</v>
      </c>
      <c r="H37" s="6">
        <f t="shared" si="8"/>
        <v>-646.54</v>
      </c>
      <c r="I37" s="26">
        <v>0</v>
      </c>
      <c r="J37" s="32">
        <f t="shared" si="9"/>
        <v>-646.54</v>
      </c>
      <c r="K37" s="24" t="s">
        <v>4</v>
      </c>
      <c r="L37" s="162"/>
      <c r="M37" s="162"/>
      <c r="N37" s="162"/>
      <c r="O37" s="162"/>
      <c r="P37" s="162"/>
      <c r="Q37" s="162"/>
      <c r="R37" s="162"/>
      <c r="S37" s="163">
        <f t="shared" si="15"/>
        <v>-646.54</v>
      </c>
      <c r="T37" s="162"/>
      <c r="U37" s="162"/>
      <c r="V37" s="163"/>
      <c r="W37" s="162"/>
      <c r="X37" s="163"/>
      <c r="Y37" s="163">
        <f t="shared" si="16"/>
        <v>-646.54</v>
      </c>
      <c r="Z37" s="164">
        <f t="shared" si="17"/>
        <v>-646.54</v>
      </c>
      <c r="AA37" s="164">
        <f t="shared" si="11"/>
        <v>-646.54</v>
      </c>
      <c r="AB37" s="29"/>
    </row>
    <row r="38" spans="1:28" x14ac:dyDescent="0.25">
      <c r="A38" s="5">
        <v>2711</v>
      </c>
      <c r="B38" s="24" t="s">
        <v>17</v>
      </c>
      <c r="C38" s="6">
        <v>0</v>
      </c>
      <c r="D38" s="6">
        <v>0</v>
      </c>
      <c r="E38" s="6">
        <v>0</v>
      </c>
      <c r="F38" s="6">
        <v>0</v>
      </c>
      <c r="G38" s="6">
        <v>110536.85</v>
      </c>
      <c r="H38" s="6">
        <f t="shared" si="8"/>
        <v>110536.85</v>
      </c>
      <c r="I38" s="26">
        <v>0</v>
      </c>
      <c r="J38" s="32">
        <f t="shared" si="9"/>
        <v>110536.85</v>
      </c>
      <c r="K38" s="24" t="s">
        <v>4</v>
      </c>
      <c r="L38" s="162"/>
      <c r="M38" s="162"/>
      <c r="N38" s="162"/>
      <c r="O38" s="162"/>
      <c r="P38" s="162"/>
      <c r="Q38" s="162"/>
      <c r="R38" s="162"/>
      <c r="S38" s="163">
        <f t="shared" si="15"/>
        <v>110536.85</v>
      </c>
      <c r="T38" s="162"/>
      <c r="U38" s="162"/>
      <c r="V38" s="163"/>
      <c r="W38" s="162"/>
      <c r="X38" s="163"/>
      <c r="Y38" s="163">
        <f t="shared" si="16"/>
        <v>110536.85</v>
      </c>
      <c r="Z38" s="164">
        <f t="shared" si="17"/>
        <v>110536.85</v>
      </c>
      <c r="AA38" s="164">
        <f t="shared" si="11"/>
        <v>110536.85</v>
      </c>
      <c r="AB38" s="29"/>
    </row>
    <row r="39" spans="1:28" x14ac:dyDescent="0.25">
      <c r="A39" s="5">
        <v>2712</v>
      </c>
      <c r="B39" s="24" t="s">
        <v>94</v>
      </c>
      <c r="C39" s="6">
        <v>0</v>
      </c>
      <c r="D39" s="6">
        <v>0</v>
      </c>
      <c r="E39" s="6">
        <v>0</v>
      </c>
      <c r="F39" s="6">
        <v>0</v>
      </c>
      <c r="G39" s="6">
        <v>173.96</v>
      </c>
      <c r="H39" s="6">
        <f t="shared" si="8"/>
        <v>173.96</v>
      </c>
      <c r="I39" s="26">
        <v>0</v>
      </c>
      <c r="J39" s="32">
        <f t="shared" si="9"/>
        <v>173.96</v>
      </c>
      <c r="K39" s="24" t="s">
        <v>4</v>
      </c>
      <c r="L39" s="162"/>
      <c r="M39" s="162"/>
      <c r="N39" s="162"/>
      <c r="O39" s="162"/>
      <c r="P39" s="162"/>
      <c r="Q39" s="162"/>
      <c r="R39" s="162"/>
      <c r="S39" s="163">
        <f t="shared" si="15"/>
        <v>173.96</v>
      </c>
      <c r="T39" s="162"/>
      <c r="U39" s="162"/>
      <c r="V39" s="163"/>
      <c r="W39" s="162"/>
      <c r="X39" s="163"/>
      <c r="Y39" s="163">
        <f t="shared" si="16"/>
        <v>173.96</v>
      </c>
      <c r="Z39" s="164">
        <f t="shared" si="17"/>
        <v>173.96</v>
      </c>
      <c r="AA39" s="164">
        <f t="shared" si="11"/>
        <v>173.96</v>
      </c>
      <c r="AB39" s="29"/>
    </row>
    <row r="40" spans="1:28" x14ac:dyDescent="0.25">
      <c r="A40" s="5">
        <v>2740</v>
      </c>
      <c r="B40" s="24" t="s">
        <v>18</v>
      </c>
      <c r="C40" s="6">
        <v>12137</v>
      </c>
      <c r="D40" s="6">
        <v>-34187</v>
      </c>
      <c r="E40" s="6">
        <v>-62478</v>
      </c>
      <c r="F40" s="6">
        <v>-62478</v>
      </c>
      <c r="G40" s="6">
        <v>67815</v>
      </c>
      <c r="H40" s="6">
        <f t="shared" si="8"/>
        <v>5337</v>
      </c>
      <c r="I40" s="26">
        <v>0</v>
      </c>
      <c r="J40" s="32">
        <f t="shared" si="9"/>
        <v>5337</v>
      </c>
      <c r="K40" s="24" t="s">
        <v>4</v>
      </c>
      <c r="L40" s="162"/>
      <c r="M40" s="162"/>
      <c r="N40" s="162"/>
      <c r="O40" s="162"/>
      <c r="P40" s="162"/>
      <c r="Q40" s="162"/>
      <c r="R40" s="162"/>
      <c r="S40" s="163">
        <f t="shared" si="15"/>
        <v>5337</v>
      </c>
      <c r="T40" s="162"/>
      <c r="U40" s="162"/>
      <c r="V40" s="163"/>
      <c r="W40" s="162"/>
      <c r="X40" s="163"/>
      <c r="Y40" s="163">
        <f t="shared" si="16"/>
        <v>5337</v>
      </c>
      <c r="Z40" s="164">
        <f t="shared" si="17"/>
        <v>5337</v>
      </c>
      <c r="AA40" s="164">
        <f t="shared" si="11"/>
        <v>5337</v>
      </c>
      <c r="AB40" s="29"/>
    </row>
    <row r="41" spans="1:28" x14ac:dyDescent="0.25">
      <c r="A41" s="5">
        <v>2771</v>
      </c>
      <c r="B41" s="24" t="s">
        <v>92</v>
      </c>
      <c r="C41" s="6">
        <v>0</v>
      </c>
      <c r="D41" s="6">
        <v>0</v>
      </c>
      <c r="E41" s="6">
        <v>-4073</v>
      </c>
      <c r="F41" s="6">
        <v>-4073</v>
      </c>
      <c r="G41" s="6">
        <v>1917</v>
      </c>
      <c r="H41" s="6">
        <f t="shared" si="8"/>
        <v>-2156</v>
      </c>
      <c r="I41" s="26">
        <v>0</v>
      </c>
      <c r="J41" s="32">
        <f t="shared" si="9"/>
        <v>-2156</v>
      </c>
      <c r="K41" s="24" t="s">
        <v>4</v>
      </c>
      <c r="L41" s="162"/>
      <c r="M41" s="162"/>
      <c r="N41" s="162"/>
      <c r="O41" s="162"/>
      <c r="P41" s="162"/>
      <c r="Q41" s="162"/>
      <c r="R41" s="162"/>
      <c r="S41" s="163">
        <f t="shared" si="15"/>
        <v>-2156</v>
      </c>
      <c r="T41" s="162"/>
      <c r="U41" s="162"/>
      <c r="V41" s="163"/>
      <c r="W41" s="162"/>
      <c r="X41" s="163"/>
      <c r="Y41" s="163">
        <f t="shared" si="16"/>
        <v>-2156</v>
      </c>
      <c r="Z41" s="164">
        <f t="shared" si="17"/>
        <v>-2156</v>
      </c>
      <c r="AA41" s="164">
        <f t="shared" si="11"/>
        <v>-2156</v>
      </c>
      <c r="AB41" s="29"/>
    </row>
    <row r="42" spans="1:28" x14ac:dyDescent="0.25">
      <c r="A42" s="5">
        <v>2785</v>
      </c>
      <c r="B42" s="24" t="s">
        <v>93</v>
      </c>
      <c r="C42" s="6">
        <v>0</v>
      </c>
      <c r="D42" s="6">
        <v>0</v>
      </c>
      <c r="E42" s="6">
        <v>-415.64</v>
      </c>
      <c r="F42" s="6">
        <v>-415.64</v>
      </c>
      <c r="G42" s="6">
        <v>-1827.09</v>
      </c>
      <c r="H42" s="6">
        <f t="shared" si="8"/>
        <v>-2242.73</v>
      </c>
      <c r="I42" s="26">
        <v>0</v>
      </c>
      <c r="J42" s="32">
        <f t="shared" si="9"/>
        <v>-2242.73</v>
      </c>
      <c r="K42" s="24" t="s">
        <v>4</v>
      </c>
      <c r="L42" s="162"/>
      <c r="M42" s="162"/>
      <c r="N42" s="162"/>
      <c r="O42" s="162"/>
      <c r="P42" s="162"/>
      <c r="Q42" s="162"/>
      <c r="R42" s="162"/>
      <c r="S42" s="163">
        <f t="shared" si="15"/>
        <v>-2242.73</v>
      </c>
      <c r="T42" s="162"/>
      <c r="U42" s="162"/>
      <c r="V42" s="163"/>
      <c r="W42" s="162"/>
      <c r="X42" s="163"/>
      <c r="Y42" s="163">
        <f t="shared" si="16"/>
        <v>-2242.73</v>
      </c>
      <c r="Z42" s="164">
        <f t="shared" si="17"/>
        <v>-2242.73</v>
      </c>
      <c r="AA42" s="164">
        <f t="shared" si="11"/>
        <v>-2242.73</v>
      </c>
      <c r="AB42" s="29"/>
    </row>
    <row r="43" spans="1:28" x14ac:dyDescent="0.25">
      <c r="A43" s="5">
        <v>2790</v>
      </c>
      <c r="B43" s="24" t="s">
        <v>98</v>
      </c>
      <c r="C43" s="6">
        <v>0</v>
      </c>
      <c r="D43" s="6">
        <v>0</v>
      </c>
      <c r="E43" s="6">
        <v>0</v>
      </c>
      <c r="F43" s="6">
        <v>0</v>
      </c>
      <c r="G43" s="6">
        <v>5720</v>
      </c>
      <c r="H43" s="6">
        <f t="shared" si="8"/>
        <v>5720</v>
      </c>
      <c r="I43" s="26">
        <v>0</v>
      </c>
      <c r="J43" s="32">
        <f t="shared" si="9"/>
        <v>5720</v>
      </c>
      <c r="K43" s="24" t="s">
        <v>4</v>
      </c>
      <c r="L43" s="162"/>
      <c r="M43" s="162"/>
      <c r="N43" s="162"/>
      <c r="O43" s="162"/>
      <c r="P43" s="162"/>
      <c r="Q43" s="162"/>
      <c r="R43" s="162"/>
      <c r="S43" s="163">
        <f t="shared" si="15"/>
        <v>5720</v>
      </c>
      <c r="T43" s="162"/>
      <c r="U43" s="162"/>
      <c r="V43" s="163"/>
      <c r="W43" s="162"/>
      <c r="X43" s="163"/>
      <c r="Y43" s="163">
        <f t="shared" si="16"/>
        <v>5720</v>
      </c>
      <c r="Z43" s="164">
        <f t="shared" si="17"/>
        <v>5720</v>
      </c>
      <c r="AA43" s="164">
        <f t="shared" si="11"/>
        <v>5720</v>
      </c>
      <c r="AB43" s="29"/>
    </row>
    <row r="44" spans="1:28" x14ac:dyDescent="0.25">
      <c r="A44" s="5">
        <v>2915</v>
      </c>
      <c r="B44" s="24" t="s">
        <v>82</v>
      </c>
      <c r="C44" s="6">
        <v>0</v>
      </c>
      <c r="D44" s="6">
        <v>-16390</v>
      </c>
      <c r="E44" s="6">
        <v>-261225.25</v>
      </c>
      <c r="F44" s="6">
        <v>-261225.25</v>
      </c>
      <c r="G44" s="6">
        <v>54811.05</v>
      </c>
      <c r="H44" s="6">
        <f t="shared" si="8"/>
        <v>-206414.2</v>
      </c>
      <c r="I44" s="26">
        <v>0</v>
      </c>
      <c r="J44" s="32">
        <f t="shared" si="9"/>
        <v>-206414.2</v>
      </c>
      <c r="K44" s="24" t="s">
        <v>4</v>
      </c>
      <c r="L44" s="162"/>
      <c r="M44" s="162"/>
      <c r="N44" s="162"/>
      <c r="O44" s="162"/>
      <c r="P44" s="162"/>
      <c r="Q44" s="162"/>
      <c r="R44" s="162"/>
      <c r="S44" s="163">
        <f t="shared" si="15"/>
        <v>-206414.2</v>
      </c>
      <c r="T44" s="162"/>
      <c r="U44" s="162"/>
      <c r="V44" s="163">
        <f>S44</f>
        <v>-206414.2</v>
      </c>
      <c r="W44" s="163">
        <f>V44</f>
        <v>-206414.2</v>
      </c>
      <c r="X44" s="163"/>
      <c r="Y44" s="163">
        <f t="shared" si="16"/>
        <v>-206414.2</v>
      </c>
      <c r="Z44" s="164">
        <v>0</v>
      </c>
      <c r="AA44" s="164">
        <f t="shared" si="11"/>
        <v>0</v>
      </c>
      <c r="AB44" s="29"/>
    </row>
    <row r="45" spans="1:28" x14ac:dyDescent="0.25">
      <c r="A45" s="5">
        <v>2916</v>
      </c>
      <c r="B45" s="24" t="s">
        <v>95</v>
      </c>
      <c r="C45" s="6">
        <v>0</v>
      </c>
      <c r="D45" s="6">
        <v>0</v>
      </c>
      <c r="E45" s="6">
        <v>22116.89</v>
      </c>
      <c r="F45" s="6">
        <v>22116.89</v>
      </c>
      <c r="G45" s="6">
        <v>-442393.55</v>
      </c>
      <c r="H45" s="6">
        <f t="shared" si="8"/>
        <v>-420276.66</v>
      </c>
      <c r="I45" s="26">
        <v>0</v>
      </c>
      <c r="J45" s="32">
        <f t="shared" si="9"/>
        <v>-420276.66</v>
      </c>
      <c r="K45" s="24" t="s">
        <v>4</v>
      </c>
      <c r="L45" s="162"/>
      <c r="M45" s="162"/>
      <c r="N45" s="162"/>
      <c r="O45" s="162"/>
      <c r="P45" s="162"/>
      <c r="Q45" s="162"/>
      <c r="R45" s="162"/>
      <c r="S45" s="163">
        <f t="shared" si="15"/>
        <v>-420276.66</v>
      </c>
      <c r="T45" s="162"/>
      <c r="U45" s="162"/>
      <c r="V45" s="163">
        <f>S45</f>
        <v>-420276.66</v>
      </c>
      <c r="W45" s="163">
        <f>V45</f>
        <v>-420276.66</v>
      </c>
      <c r="X45" s="163"/>
      <c r="Y45" s="163">
        <f t="shared" si="16"/>
        <v>-420276.66</v>
      </c>
      <c r="Z45" s="164">
        <v>0</v>
      </c>
      <c r="AA45" s="164">
        <f t="shared" si="11"/>
        <v>0</v>
      </c>
      <c r="AB45" s="29"/>
    </row>
    <row r="46" spans="1:28" x14ac:dyDescent="0.25">
      <c r="A46" s="5">
        <v>2941</v>
      </c>
      <c r="B46" s="24" t="s">
        <v>96</v>
      </c>
      <c r="C46" s="6">
        <v>0</v>
      </c>
      <c r="D46" s="6">
        <v>0</v>
      </c>
      <c r="E46" s="6">
        <v>-2947.8</v>
      </c>
      <c r="F46" s="6">
        <v>-2947.8</v>
      </c>
      <c r="G46" s="6">
        <v>-12958.08</v>
      </c>
      <c r="H46" s="6">
        <f t="shared" si="8"/>
        <v>-15905.880000000001</v>
      </c>
      <c r="I46" s="26">
        <v>0</v>
      </c>
      <c r="J46" s="32">
        <f t="shared" si="9"/>
        <v>-15905.880000000001</v>
      </c>
      <c r="K46" s="24" t="s">
        <v>4</v>
      </c>
      <c r="L46" s="162"/>
      <c r="M46" s="162"/>
      <c r="N46" s="162"/>
      <c r="O46" s="162"/>
      <c r="P46" s="162"/>
      <c r="Q46" s="162"/>
      <c r="R46" s="162"/>
      <c r="S46" s="163">
        <f t="shared" si="15"/>
        <v>-15905.880000000001</v>
      </c>
      <c r="T46" s="162"/>
      <c r="U46" s="162"/>
      <c r="V46" s="162"/>
      <c r="W46" s="162"/>
      <c r="X46" s="163"/>
      <c r="Y46" s="163">
        <f t="shared" si="16"/>
        <v>-15905.880000000001</v>
      </c>
      <c r="Z46" s="164">
        <f>Y46</f>
        <v>-15905.880000000001</v>
      </c>
      <c r="AA46" s="164">
        <f t="shared" si="11"/>
        <v>-15905.880000000001</v>
      </c>
      <c r="AB46" s="29"/>
    </row>
    <row r="47" spans="1:28" x14ac:dyDescent="0.25">
      <c r="A47" s="5">
        <v>3000</v>
      </c>
      <c r="B47" s="24" t="s">
        <v>19</v>
      </c>
      <c r="C47" s="6">
        <v>0</v>
      </c>
      <c r="D47" s="6">
        <v>-1073288.8500000001</v>
      </c>
      <c r="E47" s="6">
        <v>-1636741.2</v>
      </c>
      <c r="F47" s="6">
        <v>0</v>
      </c>
      <c r="G47" s="6">
        <v>-2706842.71</v>
      </c>
      <c r="H47" s="6">
        <f t="shared" si="8"/>
        <v>-2706842.71</v>
      </c>
      <c r="I47" s="26">
        <v>-55000</v>
      </c>
      <c r="J47" s="32">
        <f t="shared" si="9"/>
        <v>-2761842.71</v>
      </c>
      <c r="K47" s="24" t="s">
        <v>4</v>
      </c>
      <c r="L47" s="163">
        <f>C47</f>
        <v>0</v>
      </c>
      <c r="M47" s="163">
        <f t="shared" ref="M47:N63" si="18">D47</f>
        <v>-1073288.8500000001</v>
      </c>
      <c r="N47" s="163">
        <f t="shared" si="18"/>
        <v>-1636741.2</v>
      </c>
      <c r="O47" s="163">
        <f>J47</f>
        <v>-2761842.71</v>
      </c>
      <c r="P47" s="163">
        <f>SUM(L47:O47)</f>
        <v>-5471872.7599999998</v>
      </c>
      <c r="Q47" s="162"/>
      <c r="R47" s="162"/>
      <c r="S47" s="162"/>
      <c r="T47" s="162"/>
      <c r="U47" s="162"/>
      <c r="V47" s="162"/>
      <c r="W47" s="162"/>
      <c r="X47" s="163"/>
      <c r="Y47" s="163"/>
      <c r="Z47" s="164"/>
      <c r="AA47" s="164"/>
      <c r="AB47" s="29" t="s">
        <v>225</v>
      </c>
    </row>
    <row r="48" spans="1:28" x14ac:dyDescent="0.25">
      <c r="A48" s="5">
        <v>3030</v>
      </c>
      <c r="B48" s="24" t="s">
        <v>86</v>
      </c>
      <c r="C48" s="6">
        <v>0</v>
      </c>
      <c r="D48" s="6">
        <v>-26008.13</v>
      </c>
      <c r="E48" s="6">
        <v>-1323.04</v>
      </c>
      <c r="F48" s="6">
        <v>0</v>
      </c>
      <c r="G48" s="6">
        <v>-36641.11</v>
      </c>
      <c r="H48" s="6">
        <f t="shared" si="8"/>
        <v>-36641.11</v>
      </c>
      <c r="I48" s="26">
        <v>0</v>
      </c>
      <c r="J48" s="32">
        <f t="shared" si="9"/>
        <v>-36641.11</v>
      </c>
      <c r="K48" s="24" t="s">
        <v>4</v>
      </c>
      <c r="L48" s="163">
        <f t="shared" ref="L48:L113" si="19">C48</f>
        <v>0</v>
      </c>
      <c r="M48" s="163">
        <f t="shared" si="18"/>
        <v>-26008.13</v>
      </c>
      <c r="N48" s="163">
        <f t="shared" si="18"/>
        <v>-1323.04</v>
      </c>
      <c r="O48" s="163">
        <f t="shared" ref="O48:O113" si="20">J48</f>
        <v>-36641.11</v>
      </c>
      <c r="P48" s="163">
        <f t="shared" ref="P48:P113" si="21">SUM(L48:O48)</f>
        <v>-63972.28</v>
      </c>
      <c r="Q48" s="162"/>
      <c r="R48" s="162"/>
      <c r="S48" s="162"/>
      <c r="T48" s="162"/>
      <c r="U48" s="162"/>
      <c r="V48" s="162"/>
      <c r="W48" s="162"/>
      <c r="X48" s="163"/>
      <c r="Y48" s="163"/>
      <c r="Z48" s="164"/>
      <c r="AA48" s="164"/>
      <c r="AB48" s="29"/>
    </row>
    <row r="49" spans="1:28" x14ac:dyDescent="0.25">
      <c r="A49" s="5">
        <v>3100</v>
      </c>
      <c r="B49" s="5" t="s">
        <v>87</v>
      </c>
      <c r="C49" s="6">
        <v>0</v>
      </c>
      <c r="D49" s="6">
        <v>-49731.29</v>
      </c>
      <c r="E49" s="6">
        <v>-630</v>
      </c>
      <c r="F49" s="6">
        <v>0</v>
      </c>
      <c r="G49" s="6">
        <v>0</v>
      </c>
      <c r="H49" s="6">
        <f t="shared" si="8"/>
        <v>0</v>
      </c>
      <c r="I49" s="26">
        <v>0</v>
      </c>
      <c r="J49" s="32">
        <f t="shared" si="9"/>
        <v>0</v>
      </c>
      <c r="K49" s="24"/>
      <c r="L49" s="163">
        <f t="shared" si="19"/>
        <v>0</v>
      </c>
      <c r="M49" s="163">
        <f t="shared" si="18"/>
        <v>-49731.29</v>
      </c>
      <c r="N49" s="163">
        <f t="shared" si="18"/>
        <v>-630</v>
      </c>
      <c r="O49" s="163">
        <f t="shared" si="20"/>
        <v>0</v>
      </c>
      <c r="P49" s="163">
        <f t="shared" si="21"/>
        <v>-50361.29</v>
      </c>
      <c r="Q49" s="162"/>
      <c r="R49" s="162"/>
      <c r="S49" s="162"/>
      <c r="T49" s="162"/>
      <c r="U49" s="162"/>
      <c r="V49" s="162"/>
      <c r="W49" s="162"/>
      <c r="X49" s="163"/>
      <c r="Y49" s="163"/>
      <c r="Z49" s="164"/>
      <c r="AA49" s="164"/>
      <c r="AB49" s="29"/>
    </row>
    <row r="50" spans="1:28" x14ac:dyDescent="0.25">
      <c r="A50" s="5">
        <v>3120</v>
      </c>
      <c r="B50" s="24" t="s">
        <v>89</v>
      </c>
      <c r="C50" s="6">
        <v>0</v>
      </c>
      <c r="D50" s="6">
        <v>-50</v>
      </c>
      <c r="E50" s="6">
        <v>0</v>
      </c>
      <c r="F50" s="6">
        <v>0</v>
      </c>
      <c r="G50" s="6">
        <v>0</v>
      </c>
      <c r="H50" s="6">
        <f t="shared" si="8"/>
        <v>0</v>
      </c>
      <c r="I50" s="26">
        <v>0</v>
      </c>
      <c r="J50" s="32">
        <f t="shared" si="9"/>
        <v>0</v>
      </c>
      <c r="K50" s="24"/>
      <c r="L50" s="163">
        <f t="shared" si="19"/>
        <v>0</v>
      </c>
      <c r="M50" s="163">
        <f t="shared" si="18"/>
        <v>-50</v>
      </c>
      <c r="N50" s="163">
        <f t="shared" si="18"/>
        <v>0</v>
      </c>
      <c r="O50" s="163">
        <f t="shared" si="20"/>
        <v>0</v>
      </c>
      <c r="P50" s="163">
        <f t="shared" si="21"/>
        <v>-50</v>
      </c>
      <c r="Q50" s="162"/>
      <c r="R50" s="162"/>
      <c r="S50" s="162"/>
      <c r="T50" s="162"/>
      <c r="U50" s="162"/>
      <c r="V50" s="162"/>
      <c r="W50" s="162"/>
      <c r="X50" s="163"/>
      <c r="Y50" s="163"/>
      <c r="Z50" s="164"/>
      <c r="AA50" s="164"/>
      <c r="AB50" s="29"/>
    </row>
    <row r="51" spans="1:28" x14ac:dyDescent="0.25">
      <c r="A51" s="5">
        <v>3900</v>
      </c>
      <c r="B51" s="24" t="s">
        <v>91</v>
      </c>
      <c r="C51" s="6">
        <v>0</v>
      </c>
      <c r="D51" s="6">
        <v>-785.2</v>
      </c>
      <c r="E51" s="6">
        <v>-61</v>
      </c>
      <c r="F51" s="6">
        <v>0</v>
      </c>
      <c r="G51" s="6">
        <v>-271</v>
      </c>
      <c r="H51" s="6">
        <f t="shared" si="8"/>
        <v>-271</v>
      </c>
      <c r="I51" s="26">
        <v>0</v>
      </c>
      <c r="J51" s="32">
        <f t="shared" si="9"/>
        <v>-271</v>
      </c>
      <c r="K51" s="24" t="s">
        <v>4</v>
      </c>
      <c r="L51" s="163">
        <f t="shared" si="19"/>
        <v>0</v>
      </c>
      <c r="M51" s="163">
        <f t="shared" si="18"/>
        <v>-785.2</v>
      </c>
      <c r="N51" s="163">
        <f t="shared" si="18"/>
        <v>-61</v>
      </c>
      <c r="O51" s="163">
        <f t="shared" si="20"/>
        <v>-271</v>
      </c>
      <c r="P51" s="163">
        <f t="shared" si="21"/>
        <v>-1117.2</v>
      </c>
      <c r="Q51" s="162"/>
      <c r="R51" s="162"/>
      <c r="S51" s="162"/>
      <c r="T51" s="162"/>
      <c r="U51" s="162"/>
      <c r="V51" s="162"/>
      <c r="W51" s="162"/>
      <c r="X51" s="163"/>
      <c r="Y51" s="163"/>
      <c r="Z51" s="164"/>
      <c r="AA51" s="164"/>
      <c r="AB51" s="29"/>
    </row>
    <row r="52" spans="1:28" x14ac:dyDescent="0.25">
      <c r="A52" s="5">
        <v>4000</v>
      </c>
      <c r="B52" s="24" t="s">
        <v>21</v>
      </c>
      <c r="C52" s="6">
        <v>1886.25</v>
      </c>
      <c r="D52" s="6">
        <v>0</v>
      </c>
      <c r="E52" s="6">
        <v>0</v>
      </c>
      <c r="F52" s="6">
        <v>0</v>
      </c>
      <c r="G52" s="6">
        <v>961.96</v>
      </c>
      <c r="H52" s="6">
        <f t="shared" si="8"/>
        <v>961.96</v>
      </c>
      <c r="I52" s="26">
        <v>0</v>
      </c>
      <c r="J52" s="32">
        <f t="shared" si="9"/>
        <v>961.96</v>
      </c>
      <c r="K52" s="24" t="s">
        <v>4</v>
      </c>
      <c r="L52" s="163">
        <f t="shared" si="19"/>
        <v>1886.25</v>
      </c>
      <c r="M52" s="163">
        <f t="shared" si="18"/>
        <v>0</v>
      </c>
      <c r="N52" s="163">
        <f t="shared" si="18"/>
        <v>0</v>
      </c>
      <c r="O52" s="163">
        <f t="shared" si="20"/>
        <v>961.96</v>
      </c>
      <c r="P52" s="163">
        <f t="shared" si="21"/>
        <v>2848.21</v>
      </c>
      <c r="Q52" s="162"/>
      <c r="R52" s="162"/>
      <c r="S52" s="162"/>
      <c r="T52" s="162"/>
      <c r="U52" s="162"/>
      <c r="V52" s="162"/>
      <c r="W52" s="162"/>
      <c r="X52" s="163"/>
      <c r="Y52" s="163"/>
      <c r="Z52" s="164"/>
      <c r="AA52" s="164"/>
      <c r="AB52" s="29"/>
    </row>
    <row r="53" spans="1:28" x14ac:dyDescent="0.25">
      <c r="A53" s="5">
        <v>4060</v>
      </c>
      <c r="B53" s="24" t="s">
        <v>22</v>
      </c>
      <c r="C53" s="6">
        <v>190.4</v>
      </c>
      <c r="D53" s="6">
        <v>1329.8</v>
      </c>
      <c r="E53" s="6">
        <v>593</v>
      </c>
      <c r="F53" s="6">
        <v>0</v>
      </c>
      <c r="G53" s="6">
        <v>12700.38</v>
      </c>
      <c r="H53" s="6">
        <f t="shared" si="8"/>
        <v>12700.38</v>
      </c>
      <c r="I53" s="26">
        <v>0</v>
      </c>
      <c r="J53" s="32">
        <f t="shared" si="9"/>
        <v>12700.38</v>
      </c>
      <c r="K53" s="24" t="s">
        <v>4</v>
      </c>
      <c r="L53" s="163">
        <f t="shared" si="19"/>
        <v>190.4</v>
      </c>
      <c r="M53" s="163">
        <f t="shared" si="18"/>
        <v>1329.8</v>
      </c>
      <c r="N53" s="163">
        <f t="shared" si="18"/>
        <v>593</v>
      </c>
      <c r="O53" s="163">
        <f t="shared" si="20"/>
        <v>12700.38</v>
      </c>
      <c r="P53" s="163">
        <f t="shared" si="21"/>
        <v>14813.579999999998</v>
      </c>
      <c r="Q53" s="162"/>
      <c r="R53" s="162"/>
      <c r="S53" s="162"/>
      <c r="T53" s="162"/>
      <c r="U53" s="162"/>
      <c r="V53" s="162"/>
      <c r="W53" s="162"/>
      <c r="X53" s="163"/>
      <c r="Y53" s="163"/>
      <c r="Z53" s="164"/>
      <c r="AA53" s="164"/>
      <c r="AB53" s="29"/>
    </row>
    <row r="54" spans="1:28" x14ac:dyDescent="0.25">
      <c r="A54" s="5">
        <v>4300</v>
      </c>
      <c r="B54" s="24" t="s">
        <v>23</v>
      </c>
      <c r="C54" s="6">
        <v>48352.73</v>
      </c>
      <c r="D54" s="6">
        <v>1169531.72</v>
      </c>
      <c r="E54" s="6">
        <v>1006874.99</v>
      </c>
      <c r="F54" s="6">
        <v>0</v>
      </c>
      <c r="G54" s="6">
        <v>1963861.51</v>
      </c>
      <c r="H54" s="6">
        <f t="shared" si="8"/>
        <v>1963861.51</v>
      </c>
      <c r="I54" s="26">
        <v>0</v>
      </c>
      <c r="J54" s="32">
        <f t="shared" si="9"/>
        <v>1963861.51</v>
      </c>
      <c r="K54" s="24" t="s">
        <v>4</v>
      </c>
      <c r="L54" s="163">
        <f t="shared" si="19"/>
        <v>48352.73</v>
      </c>
      <c r="M54" s="163">
        <f t="shared" si="18"/>
        <v>1169531.72</v>
      </c>
      <c r="N54" s="163">
        <f t="shared" si="18"/>
        <v>1006874.99</v>
      </c>
      <c r="O54" s="163">
        <f t="shared" si="20"/>
        <v>1963861.51</v>
      </c>
      <c r="P54" s="163">
        <f t="shared" si="21"/>
        <v>4188620.95</v>
      </c>
      <c r="Q54" s="162"/>
      <c r="R54" s="162"/>
      <c r="S54" s="162"/>
      <c r="T54" s="162"/>
      <c r="U54" s="162"/>
      <c r="V54" s="162"/>
      <c r="W54" s="162"/>
      <c r="X54" s="163"/>
      <c r="Y54" s="163"/>
      <c r="Z54" s="164"/>
      <c r="AA54" s="164"/>
      <c r="AB54" s="29"/>
    </row>
    <row r="55" spans="1:28" x14ac:dyDescent="0.25">
      <c r="A55" s="5">
        <v>4330</v>
      </c>
      <c r="B55" s="24" t="s">
        <v>101</v>
      </c>
      <c r="C55" s="6">
        <v>0</v>
      </c>
      <c r="D55" s="6">
        <v>0</v>
      </c>
      <c r="E55" s="6">
        <v>8268.56</v>
      </c>
      <c r="F55" s="6">
        <v>0</v>
      </c>
      <c r="G55" s="6">
        <v>7860.01</v>
      </c>
      <c r="H55" s="6">
        <f t="shared" si="8"/>
        <v>7860.01</v>
      </c>
      <c r="I55" s="26">
        <v>0</v>
      </c>
      <c r="J55" s="32">
        <f t="shared" si="9"/>
        <v>7860.01</v>
      </c>
      <c r="K55" s="24" t="s">
        <v>4</v>
      </c>
      <c r="L55" s="163">
        <f t="shared" si="19"/>
        <v>0</v>
      </c>
      <c r="M55" s="163">
        <f t="shared" si="18"/>
        <v>0</v>
      </c>
      <c r="N55" s="163">
        <f t="shared" si="18"/>
        <v>8268.56</v>
      </c>
      <c r="O55" s="163">
        <f t="shared" si="20"/>
        <v>7860.01</v>
      </c>
      <c r="P55" s="163">
        <f t="shared" si="21"/>
        <v>16128.57</v>
      </c>
      <c r="Q55" s="162"/>
      <c r="R55" s="162"/>
      <c r="S55" s="162"/>
      <c r="T55" s="162"/>
      <c r="U55" s="162"/>
      <c r="V55" s="162"/>
      <c r="W55" s="162"/>
      <c r="X55" s="163"/>
      <c r="Y55" s="163"/>
      <c r="Z55" s="164"/>
      <c r="AA55" s="164"/>
      <c r="AB55" s="29"/>
    </row>
    <row r="56" spans="1:28" x14ac:dyDescent="0.25">
      <c r="A56" s="5">
        <v>4360</v>
      </c>
      <c r="B56" s="24" t="s">
        <v>24</v>
      </c>
      <c r="C56" s="6">
        <v>1046</v>
      </c>
      <c r="D56" s="6">
        <v>18558.79</v>
      </c>
      <c r="E56" s="6">
        <v>124139.48</v>
      </c>
      <c r="F56" s="6">
        <v>0</v>
      </c>
      <c r="G56" s="6">
        <v>26328.75</v>
      </c>
      <c r="H56" s="6">
        <f t="shared" si="8"/>
        <v>26328.75</v>
      </c>
      <c r="I56" s="26">
        <v>0</v>
      </c>
      <c r="J56" s="32">
        <f t="shared" si="9"/>
        <v>26328.75</v>
      </c>
      <c r="K56" s="24" t="s">
        <v>4</v>
      </c>
      <c r="L56" s="163">
        <f t="shared" si="19"/>
        <v>1046</v>
      </c>
      <c r="M56" s="163">
        <f t="shared" si="18"/>
        <v>18558.79</v>
      </c>
      <c r="N56" s="163">
        <f t="shared" si="18"/>
        <v>124139.48</v>
      </c>
      <c r="O56" s="163">
        <f t="shared" si="20"/>
        <v>26328.75</v>
      </c>
      <c r="P56" s="163">
        <f t="shared" si="21"/>
        <v>170073.02</v>
      </c>
      <c r="Q56" s="162"/>
      <c r="R56" s="162"/>
      <c r="S56" s="162"/>
      <c r="T56" s="162"/>
      <c r="U56" s="162"/>
      <c r="V56" s="162"/>
      <c r="W56" s="162"/>
      <c r="X56" s="163"/>
      <c r="Y56" s="163"/>
      <c r="Z56" s="164"/>
      <c r="AA56" s="164"/>
      <c r="AB56" s="29"/>
    </row>
    <row r="57" spans="1:28" x14ac:dyDescent="0.25">
      <c r="A57" s="43">
        <v>4390</v>
      </c>
      <c r="B57" s="44" t="s">
        <v>25</v>
      </c>
      <c r="C57" s="6">
        <v>-32991.61</v>
      </c>
      <c r="D57" s="6">
        <v>-291555.68</v>
      </c>
      <c r="E57" s="6">
        <v>-105353</v>
      </c>
      <c r="F57" s="6">
        <v>0</v>
      </c>
      <c r="G57" s="6">
        <v>-323771.52000000002</v>
      </c>
      <c r="H57" s="6">
        <f t="shared" si="8"/>
        <v>-323771.52000000002</v>
      </c>
      <c r="I57" s="26">
        <v>55000</v>
      </c>
      <c r="J57" s="32">
        <f t="shared" si="9"/>
        <v>-268771.52</v>
      </c>
      <c r="K57" s="24" t="s">
        <v>4</v>
      </c>
      <c r="L57" s="163">
        <f t="shared" si="19"/>
        <v>-32991.61</v>
      </c>
      <c r="M57" s="163">
        <f t="shared" si="18"/>
        <v>-291555.68</v>
      </c>
      <c r="N57" s="163">
        <f t="shared" si="18"/>
        <v>-105353</v>
      </c>
      <c r="O57" s="163">
        <f t="shared" si="20"/>
        <v>-268771.52</v>
      </c>
      <c r="P57" s="163">
        <f t="shared" si="21"/>
        <v>-698671.81</v>
      </c>
      <c r="Q57" s="162"/>
      <c r="R57" s="162"/>
      <c r="S57" s="162"/>
      <c r="T57" s="162"/>
      <c r="U57" s="162"/>
      <c r="V57" s="162"/>
      <c r="W57" s="162"/>
      <c r="X57" s="163"/>
      <c r="Y57" s="163"/>
      <c r="Z57" s="164"/>
      <c r="AA57" s="164"/>
      <c r="AB57" s="166" t="s">
        <v>157</v>
      </c>
    </row>
    <row r="58" spans="1:28" x14ac:dyDescent="0.25">
      <c r="A58" s="43">
        <v>4391</v>
      </c>
      <c r="B58" s="44" t="s">
        <v>155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f t="shared" si="8"/>
        <v>0</v>
      </c>
      <c r="I58" s="26">
        <v>0</v>
      </c>
      <c r="J58" s="32">
        <f t="shared" si="9"/>
        <v>0</v>
      </c>
      <c r="K58" s="24"/>
      <c r="L58" s="163">
        <f t="shared" si="19"/>
        <v>0</v>
      </c>
      <c r="M58" s="163">
        <f t="shared" si="18"/>
        <v>0</v>
      </c>
      <c r="N58" s="163">
        <f t="shared" si="18"/>
        <v>0</v>
      </c>
      <c r="O58" s="163">
        <f t="shared" si="20"/>
        <v>0</v>
      </c>
      <c r="P58" s="163">
        <f t="shared" si="21"/>
        <v>0</v>
      </c>
      <c r="Q58" s="162"/>
      <c r="R58" s="162"/>
      <c r="S58" s="162"/>
      <c r="T58" s="162"/>
      <c r="U58" s="162"/>
      <c r="V58" s="162"/>
      <c r="W58" s="162"/>
      <c r="X58" s="163"/>
      <c r="Y58" s="163"/>
      <c r="Z58" s="164"/>
      <c r="AA58" s="164"/>
      <c r="AB58" s="166" t="s">
        <v>223</v>
      </c>
    </row>
    <row r="59" spans="1:28" x14ac:dyDescent="0.25">
      <c r="A59" s="5">
        <v>4500</v>
      </c>
      <c r="B59" s="24" t="s">
        <v>97</v>
      </c>
      <c r="C59" s="6">
        <v>0</v>
      </c>
      <c r="D59" s="6">
        <v>5915.8</v>
      </c>
      <c r="E59" s="6">
        <v>4500</v>
      </c>
      <c r="F59" s="6">
        <v>0</v>
      </c>
      <c r="G59" s="6">
        <v>0</v>
      </c>
      <c r="H59" s="6">
        <f t="shared" si="8"/>
        <v>0</v>
      </c>
      <c r="I59" s="26">
        <v>0</v>
      </c>
      <c r="J59" s="32">
        <f t="shared" si="9"/>
        <v>0</v>
      </c>
      <c r="K59" s="24"/>
      <c r="L59" s="163">
        <f t="shared" si="19"/>
        <v>0</v>
      </c>
      <c r="M59" s="163">
        <f t="shared" si="18"/>
        <v>5915.8</v>
      </c>
      <c r="N59" s="163">
        <f t="shared" si="18"/>
        <v>4500</v>
      </c>
      <c r="O59" s="163">
        <f t="shared" si="20"/>
        <v>0</v>
      </c>
      <c r="P59" s="163">
        <f t="shared" si="21"/>
        <v>10415.799999999999</v>
      </c>
      <c r="Q59" s="162"/>
      <c r="R59" s="162"/>
      <c r="S59" s="162"/>
      <c r="T59" s="162"/>
      <c r="U59" s="162"/>
      <c r="V59" s="162"/>
      <c r="W59" s="162"/>
      <c r="X59" s="163"/>
      <c r="Y59" s="163"/>
      <c r="Z59" s="164"/>
      <c r="AA59" s="164"/>
      <c r="AB59" s="29"/>
    </row>
    <row r="60" spans="1:28" x14ac:dyDescent="0.25">
      <c r="A60" s="5">
        <v>4600</v>
      </c>
      <c r="B60" s="5" t="s">
        <v>26</v>
      </c>
      <c r="C60" s="6">
        <v>0</v>
      </c>
      <c r="D60" s="6">
        <v>0</v>
      </c>
      <c r="E60" s="6">
        <v>191.6</v>
      </c>
      <c r="F60" s="6">
        <v>0</v>
      </c>
      <c r="G60" s="6">
        <v>0</v>
      </c>
      <c r="H60" s="6">
        <f t="shared" si="8"/>
        <v>0</v>
      </c>
      <c r="I60" s="26">
        <v>0</v>
      </c>
      <c r="J60" s="32">
        <f t="shared" si="9"/>
        <v>0</v>
      </c>
      <c r="K60" s="24"/>
      <c r="L60" s="163">
        <f t="shared" si="19"/>
        <v>0</v>
      </c>
      <c r="M60" s="163">
        <f t="shared" si="18"/>
        <v>0</v>
      </c>
      <c r="N60" s="163">
        <f t="shared" si="18"/>
        <v>191.6</v>
      </c>
      <c r="O60" s="163">
        <f t="shared" si="20"/>
        <v>0</v>
      </c>
      <c r="P60" s="163">
        <f t="shared" si="21"/>
        <v>191.6</v>
      </c>
      <c r="Q60" s="162"/>
      <c r="R60" s="162"/>
      <c r="S60" s="162"/>
      <c r="T60" s="162"/>
      <c r="U60" s="162"/>
      <c r="V60" s="162"/>
      <c r="W60" s="162"/>
      <c r="X60" s="163"/>
      <c r="Y60" s="163"/>
      <c r="Z60" s="164"/>
      <c r="AA60" s="164"/>
      <c r="AB60" s="29"/>
    </row>
    <row r="61" spans="1:28" x14ac:dyDescent="0.25">
      <c r="A61" s="5">
        <v>5001</v>
      </c>
      <c r="B61" s="24" t="s">
        <v>104</v>
      </c>
      <c r="C61" s="6">
        <v>0</v>
      </c>
      <c r="D61" s="6">
        <v>0</v>
      </c>
      <c r="E61" s="6">
        <v>28900</v>
      </c>
      <c r="F61" s="6">
        <v>0</v>
      </c>
      <c r="G61" s="6">
        <v>155940</v>
      </c>
      <c r="H61" s="6">
        <f t="shared" si="8"/>
        <v>155940</v>
      </c>
      <c r="I61" s="26">
        <v>0</v>
      </c>
      <c r="J61" s="32">
        <f t="shared" si="9"/>
        <v>155940</v>
      </c>
      <c r="K61" s="24" t="s">
        <v>4</v>
      </c>
      <c r="L61" s="163">
        <f t="shared" si="19"/>
        <v>0</v>
      </c>
      <c r="M61" s="163">
        <f t="shared" si="18"/>
        <v>0</v>
      </c>
      <c r="N61" s="163">
        <f t="shared" si="18"/>
        <v>28900</v>
      </c>
      <c r="O61" s="163">
        <f t="shared" si="20"/>
        <v>155940</v>
      </c>
      <c r="P61" s="163">
        <f t="shared" si="21"/>
        <v>184840</v>
      </c>
      <c r="Q61" s="162"/>
      <c r="R61" s="162"/>
      <c r="S61" s="162"/>
      <c r="T61" s="162"/>
      <c r="U61" s="162"/>
      <c r="V61" s="162"/>
      <c r="W61" s="162"/>
      <c r="X61" s="163"/>
      <c r="Y61" s="163"/>
      <c r="Z61" s="164"/>
      <c r="AA61" s="164"/>
      <c r="AB61" s="29"/>
    </row>
    <row r="62" spans="1:28" x14ac:dyDescent="0.25">
      <c r="A62" s="5">
        <v>5092</v>
      </c>
      <c r="B62" s="24" t="s">
        <v>105</v>
      </c>
      <c r="C62" s="6">
        <v>0</v>
      </c>
      <c r="D62" s="6">
        <v>0</v>
      </c>
      <c r="E62" s="6">
        <v>2947.8</v>
      </c>
      <c r="F62" s="6">
        <v>0</v>
      </c>
      <c r="G62" s="6">
        <v>15905.88</v>
      </c>
      <c r="H62" s="6">
        <f t="shared" si="8"/>
        <v>15905.88</v>
      </c>
      <c r="I62" s="26">
        <v>0</v>
      </c>
      <c r="J62" s="32">
        <f t="shared" si="9"/>
        <v>15905.88</v>
      </c>
      <c r="K62" s="24" t="s">
        <v>4</v>
      </c>
      <c r="L62" s="163">
        <f t="shared" si="19"/>
        <v>0</v>
      </c>
      <c r="M62" s="163">
        <f t="shared" si="18"/>
        <v>0</v>
      </c>
      <c r="N62" s="163">
        <f t="shared" si="18"/>
        <v>2947.8</v>
      </c>
      <c r="O62" s="163">
        <f t="shared" si="20"/>
        <v>15905.88</v>
      </c>
      <c r="P62" s="163">
        <f t="shared" si="21"/>
        <v>18853.68</v>
      </c>
      <c r="Q62" s="162"/>
      <c r="R62" s="162"/>
      <c r="S62" s="162"/>
      <c r="T62" s="162"/>
      <c r="U62" s="162"/>
      <c r="V62" s="162"/>
      <c r="W62" s="162"/>
      <c r="X62" s="163"/>
      <c r="Y62" s="163"/>
      <c r="Z62" s="164"/>
      <c r="AA62" s="164"/>
      <c r="AB62" s="29"/>
    </row>
    <row r="63" spans="1:28" x14ac:dyDescent="0.25">
      <c r="A63" s="5">
        <v>5401</v>
      </c>
      <c r="B63" s="24" t="s">
        <v>106</v>
      </c>
      <c r="C63" s="6">
        <v>0</v>
      </c>
      <c r="D63" s="6">
        <v>0</v>
      </c>
      <c r="E63" s="6">
        <v>4074.9</v>
      </c>
      <c r="F63" s="6">
        <v>0</v>
      </c>
      <c r="G63" s="6">
        <v>22406.880000000001</v>
      </c>
      <c r="H63" s="6">
        <f t="shared" si="8"/>
        <v>22406.880000000001</v>
      </c>
      <c r="I63" s="26">
        <v>0</v>
      </c>
      <c r="J63" s="32">
        <f t="shared" si="9"/>
        <v>22406.880000000001</v>
      </c>
      <c r="K63" s="24" t="s">
        <v>4</v>
      </c>
      <c r="L63" s="163">
        <f t="shared" si="19"/>
        <v>0</v>
      </c>
      <c r="M63" s="163">
        <f t="shared" si="18"/>
        <v>0</v>
      </c>
      <c r="N63" s="163">
        <f t="shared" si="18"/>
        <v>4074.9</v>
      </c>
      <c r="O63" s="163">
        <f t="shared" si="20"/>
        <v>22406.880000000001</v>
      </c>
      <c r="P63" s="163">
        <f t="shared" si="21"/>
        <v>26481.780000000002</v>
      </c>
      <c r="Q63" s="162"/>
      <c r="R63" s="162"/>
      <c r="S63" s="162"/>
      <c r="T63" s="162"/>
      <c r="U63" s="162"/>
      <c r="V63" s="162"/>
      <c r="W63" s="162"/>
      <c r="X63" s="163"/>
      <c r="Y63" s="163"/>
      <c r="Z63" s="164"/>
      <c r="AA63" s="164"/>
      <c r="AB63" s="29"/>
    </row>
    <row r="64" spans="1:28" x14ac:dyDescent="0.25">
      <c r="A64" s="5">
        <v>5405</v>
      </c>
      <c r="B64" s="24" t="s">
        <v>108</v>
      </c>
      <c r="C64" s="6">
        <v>0</v>
      </c>
      <c r="D64" s="6">
        <v>0</v>
      </c>
      <c r="E64" s="6">
        <v>415.64</v>
      </c>
      <c r="F64" s="6">
        <v>0</v>
      </c>
      <c r="G64" s="6">
        <v>2242.73</v>
      </c>
      <c r="H64" s="6">
        <f t="shared" si="8"/>
        <v>2242.73</v>
      </c>
      <c r="I64" s="26">
        <v>0</v>
      </c>
      <c r="J64" s="32">
        <f t="shared" si="9"/>
        <v>2242.73</v>
      </c>
      <c r="K64" s="24" t="s">
        <v>4</v>
      </c>
      <c r="L64" s="163">
        <f t="shared" si="19"/>
        <v>0</v>
      </c>
      <c r="M64" s="163">
        <f t="shared" ref="M64:M116" si="22">D64</f>
        <v>0</v>
      </c>
      <c r="N64" s="163">
        <f t="shared" ref="N64:N116" si="23">E64</f>
        <v>415.64</v>
      </c>
      <c r="O64" s="163">
        <f t="shared" si="20"/>
        <v>2242.73</v>
      </c>
      <c r="P64" s="163">
        <f t="shared" si="21"/>
        <v>2658.37</v>
      </c>
      <c r="Q64" s="162"/>
      <c r="R64" s="162"/>
      <c r="S64" s="162"/>
      <c r="T64" s="162"/>
      <c r="U64" s="162"/>
      <c r="V64" s="162"/>
      <c r="W64" s="162"/>
      <c r="X64" s="163"/>
      <c r="Y64" s="163"/>
      <c r="Z64" s="164"/>
      <c r="AA64" s="164"/>
      <c r="AB64" s="29"/>
    </row>
    <row r="65" spans="1:28" x14ac:dyDescent="0.25">
      <c r="A65" s="5">
        <v>5911</v>
      </c>
      <c r="B65" s="5" t="s">
        <v>99</v>
      </c>
      <c r="C65" s="6">
        <v>0</v>
      </c>
      <c r="D65" s="6">
        <v>228.11</v>
      </c>
      <c r="E65" s="6">
        <v>0</v>
      </c>
      <c r="F65" s="6">
        <v>0</v>
      </c>
      <c r="G65" s="6">
        <v>0</v>
      </c>
      <c r="H65" s="6">
        <f t="shared" si="8"/>
        <v>0</v>
      </c>
      <c r="I65" s="26">
        <v>0</v>
      </c>
      <c r="J65" s="32">
        <f t="shared" si="9"/>
        <v>0</v>
      </c>
      <c r="K65" s="24"/>
      <c r="L65" s="163">
        <f t="shared" si="19"/>
        <v>0</v>
      </c>
      <c r="M65" s="163">
        <f t="shared" si="22"/>
        <v>228.11</v>
      </c>
      <c r="N65" s="163">
        <f t="shared" si="23"/>
        <v>0</v>
      </c>
      <c r="O65" s="163">
        <f t="shared" si="20"/>
        <v>0</v>
      </c>
      <c r="P65" s="163">
        <f t="shared" si="21"/>
        <v>228.11</v>
      </c>
      <c r="Q65" s="162"/>
      <c r="R65" s="162"/>
      <c r="S65" s="162"/>
      <c r="T65" s="162"/>
      <c r="U65" s="162"/>
      <c r="V65" s="162"/>
      <c r="W65" s="162"/>
      <c r="X65" s="163"/>
      <c r="Y65" s="163"/>
      <c r="Z65" s="164"/>
      <c r="AA65" s="164"/>
      <c r="AB65" s="29"/>
    </row>
    <row r="66" spans="1:28" x14ac:dyDescent="0.25">
      <c r="A66" s="5">
        <v>5915</v>
      </c>
      <c r="B66" s="24" t="s">
        <v>81</v>
      </c>
      <c r="C66" s="6">
        <v>1400</v>
      </c>
      <c r="D66" s="6">
        <v>2794.3</v>
      </c>
      <c r="E66" s="6">
        <v>0</v>
      </c>
      <c r="F66" s="6">
        <v>0</v>
      </c>
      <c r="G66" s="6">
        <v>452.99</v>
      </c>
      <c r="H66" s="6">
        <f t="shared" si="8"/>
        <v>452.99</v>
      </c>
      <c r="I66" s="26">
        <v>0</v>
      </c>
      <c r="J66" s="32">
        <f t="shared" si="9"/>
        <v>452.99</v>
      </c>
      <c r="K66" s="24" t="s">
        <v>4</v>
      </c>
      <c r="L66" s="163">
        <f t="shared" si="19"/>
        <v>1400</v>
      </c>
      <c r="M66" s="163">
        <f t="shared" si="22"/>
        <v>2794.3</v>
      </c>
      <c r="N66" s="163">
        <f t="shared" si="23"/>
        <v>0</v>
      </c>
      <c r="O66" s="163">
        <f t="shared" si="20"/>
        <v>452.99</v>
      </c>
      <c r="P66" s="163">
        <f t="shared" si="21"/>
        <v>4647.29</v>
      </c>
      <c r="Q66" s="162"/>
      <c r="R66" s="162"/>
      <c r="S66" s="162"/>
      <c r="T66" s="162"/>
      <c r="U66" s="162"/>
      <c r="V66" s="162"/>
      <c r="W66" s="162"/>
      <c r="X66" s="163"/>
      <c r="Y66" s="163"/>
      <c r="Z66" s="164"/>
      <c r="AA66" s="164"/>
      <c r="AB66" s="29"/>
    </row>
    <row r="67" spans="1:28" x14ac:dyDescent="0.25">
      <c r="A67" s="5">
        <v>5950</v>
      </c>
      <c r="B67" s="24" t="s">
        <v>113</v>
      </c>
      <c r="C67" s="6">
        <v>0</v>
      </c>
      <c r="D67" s="6">
        <v>0</v>
      </c>
      <c r="E67" s="6">
        <v>0</v>
      </c>
      <c r="F67" s="6">
        <v>0</v>
      </c>
      <c r="G67" s="6">
        <v>3708</v>
      </c>
      <c r="H67" s="6">
        <f t="shared" si="8"/>
        <v>3708</v>
      </c>
      <c r="I67" s="26">
        <v>0</v>
      </c>
      <c r="J67" s="32">
        <f t="shared" si="9"/>
        <v>3708</v>
      </c>
      <c r="K67" s="24" t="s">
        <v>4</v>
      </c>
      <c r="L67" s="163">
        <f t="shared" si="19"/>
        <v>0</v>
      </c>
      <c r="M67" s="163">
        <f t="shared" si="22"/>
        <v>0</v>
      </c>
      <c r="N67" s="163">
        <f t="shared" si="23"/>
        <v>0</v>
      </c>
      <c r="O67" s="163">
        <f t="shared" si="20"/>
        <v>3708</v>
      </c>
      <c r="P67" s="163">
        <f t="shared" si="21"/>
        <v>3708</v>
      </c>
      <c r="Q67" s="162"/>
      <c r="R67" s="162"/>
      <c r="S67" s="162"/>
      <c r="T67" s="162"/>
      <c r="U67" s="162"/>
      <c r="V67" s="162"/>
      <c r="W67" s="162"/>
      <c r="X67" s="163"/>
      <c r="Y67" s="163"/>
      <c r="Z67" s="164"/>
      <c r="AA67" s="164"/>
      <c r="AB67" s="29"/>
    </row>
    <row r="68" spans="1:28" x14ac:dyDescent="0.25">
      <c r="A68" s="5">
        <v>5990</v>
      </c>
      <c r="B68" s="24" t="s">
        <v>139</v>
      </c>
      <c r="C68" s="6">
        <v>132.69</v>
      </c>
      <c r="D68" s="6">
        <v>2626</v>
      </c>
      <c r="E68" s="6">
        <v>435.37</v>
      </c>
      <c r="F68" s="6">
        <v>0</v>
      </c>
      <c r="G68" s="6">
        <v>0</v>
      </c>
      <c r="H68" s="6">
        <f t="shared" si="8"/>
        <v>0</v>
      </c>
      <c r="I68" s="26">
        <v>0</v>
      </c>
      <c r="J68" s="32">
        <f t="shared" si="9"/>
        <v>0</v>
      </c>
      <c r="K68" s="24"/>
      <c r="L68" s="163">
        <f t="shared" si="19"/>
        <v>132.69</v>
      </c>
      <c r="M68" s="163">
        <f t="shared" si="22"/>
        <v>2626</v>
      </c>
      <c r="N68" s="163">
        <f t="shared" si="23"/>
        <v>435.37</v>
      </c>
      <c r="O68" s="163">
        <f t="shared" si="20"/>
        <v>0</v>
      </c>
      <c r="P68" s="163">
        <f t="shared" si="21"/>
        <v>3194.06</v>
      </c>
      <c r="Q68" s="162"/>
      <c r="R68" s="162"/>
      <c r="S68" s="162"/>
      <c r="T68" s="162"/>
      <c r="U68" s="162"/>
      <c r="V68" s="162"/>
      <c r="W68" s="162"/>
      <c r="X68" s="163"/>
      <c r="Y68" s="163"/>
      <c r="Z68" s="164"/>
      <c r="AA68" s="164"/>
      <c r="AB68" s="29"/>
    </row>
    <row r="69" spans="1:28" x14ac:dyDescent="0.25">
      <c r="A69" s="5">
        <v>6100</v>
      </c>
      <c r="B69" s="24" t="s">
        <v>27</v>
      </c>
      <c r="C69" s="6">
        <v>0</v>
      </c>
      <c r="D69" s="6">
        <v>30636.13</v>
      </c>
      <c r="E69" s="6">
        <v>35127.64</v>
      </c>
      <c r="F69" s="6">
        <v>0</v>
      </c>
      <c r="G69" s="6">
        <v>78678.27</v>
      </c>
      <c r="H69" s="6">
        <f t="shared" si="8"/>
        <v>78678.27</v>
      </c>
      <c r="I69" s="26">
        <v>0</v>
      </c>
      <c r="J69" s="32">
        <f t="shared" si="9"/>
        <v>78678.27</v>
      </c>
      <c r="K69" s="24" t="s">
        <v>4</v>
      </c>
      <c r="L69" s="163">
        <f t="shared" si="19"/>
        <v>0</v>
      </c>
      <c r="M69" s="163">
        <f t="shared" si="22"/>
        <v>30636.13</v>
      </c>
      <c r="N69" s="163">
        <f t="shared" si="23"/>
        <v>35127.64</v>
      </c>
      <c r="O69" s="163">
        <f t="shared" si="20"/>
        <v>78678.27</v>
      </c>
      <c r="P69" s="163">
        <f t="shared" si="21"/>
        <v>144442.04</v>
      </c>
      <c r="Q69" s="162"/>
      <c r="R69" s="162"/>
      <c r="S69" s="162"/>
      <c r="T69" s="162"/>
      <c r="U69" s="162"/>
      <c r="V69" s="162"/>
      <c r="W69" s="162"/>
      <c r="X69" s="163"/>
      <c r="Y69" s="163"/>
      <c r="Z69" s="164"/>
      <c r="AA69" s="164"/>
      <c r="AB69" s="29"/>
    </row>
    <row r="70" spans="1:28" x14ac:dyDescent="0.25">
      <c r="A70" s="5">
        <v>6190</v>
      </c>
      <c r="B70" s="5" t="s">
        <v>111</v>
      </c>
      <c r="C70" s="6">
        <v>0</v>
      </c>
      <c r="D70" s="6">
        <v>0</v>
      </c>
      <c r="E70" s="6">
        <v>248.8</v>
      </c>
      <c r="F70" s="6">
        <v>0</v>
      </c>
      <c r="G70" s="6">
        <v>0</v>
      </c>
      <c r="H70" s="6">
        <f t="shared" si="8"/>
        <v>0</v>
      </c>
      <c r="I70" s="26">
        <v>0</v>
      </c>
      <c r="J70" s="32">
        <f t="shared" si="9"/>
        <v>0</v>
      </c>
      <c r="K70" s="24"/>
      <c r="L70" s="163">
        <f t="shared" si="19"/>
        <v>0</v>
      </c>
      <c r="M70" s="163">
        <f t="shared" si="22"/>
        <v>0</v>
      </c>
      <c r="N70" s="163">
        <f t="shared" si="23"/>
        <v>248.8</v>
      </c>
      <c r="O70" s="163">
        <f t="shared" si="20"/>
        <v>0</v>
      </c>
      <c r="P70" s="163">
        <f t="shared" si="21"/>
        <v>248.8</v>
      </c>
      <c r="Q70" s="162"/>
      <c r="R70" s="162"/>
      <c r="S70" s="162"/>
      <c r="T70" s="162"/>
      <c r="U70" s="162"/>
      <c r="V70" s="162"/>
      <c r="W70" s="162"/>
      <c r="X70" s="163"/>
      <c r="Y70" s="163"/>
      <c r="Z70" s="164"/>
      <c r="AA70" s="164"/>
      <c r="AB70" s="29"/>
    </row>
    <row r="71" spans="1:28" x14ac:dyDescent="0.25">
      <c r="A71" s="5">
        <v>6300</v>
      </c>
      <c r="B71" s="24" t="s">
        <v>28</v>
      </c>
      <c r="C71" s="6">
        <v>0</v>
      </c>
      <c r="D71" s="6">
        <v>50313</v>
      </c>
      <c r="E71" s="6">
        <v>156189.20000000001</v>
      </c>
      <c r="F71" s="6">
        <v>0</v>
      </c>
      <c r="G71" s="6">
        <v>170274.53</v>
      </c>
      <c r="H71" s="6">
        <f t="shared" si="8"/>
        <v>170274.53</v>
      </c>
      <c r="I71" s="26">
        <v>0</v>
      </c>
      <c r="J71" s="32">
        <f t="shared" si="9"/>
        <v>170274.53</v>
      </c>
      <c r="K71" s="24" t="s">
        <v>4</v>
      </c>
      <c r="L71" s="163">
        <f t="shared" si="19"/>
        <v>0</v>
      </c>
      <c r="M71" s="163">
        <f t="shared" si="22"/>
        <v>50313</v>
      </c>
      <c r="N71" s="163">
        <f t="shared" si="23"/>
        <v>156189.20000000001</v>
      </c>
      <c r="O71" s="163">
        <f t="shared" si="20"/>
        <v>170274.53</v>
      </c>
      <c r="P71" s="163">
        <f t="shared" si="21"/>
        <v>376776.73</v>
      </c>
      <c r="Q71" s="162"/>
      <c r="R71" s="162"/>
      <c r="S71" s="162"/>
      <c r="T71" s="162"/>
      <c r="U71" s="162"/>
      <c r="V71" s="162"/>
      <c r="W71" s="162"/>
      <c r="X71" s="163"/>
      <c r="Y71" s="163"/>
      <c r="Z71" s="164"/>
      <c r="AA71" s="164"/>
      <c r="AB71" s="29"/>
    </row>
    <row r="72" spans="1:28" x14ac:dyDescent="0.25">
      <c r="A72" s="5">
        <v>6399</v>
      </c>
      <c r="B72" s="5" t="s">
        <v>100</v>
      </c>
      <c r="C72" s="6">
        <v>0</v>
      </c>
      <c r="D72" s="6">
        <v>3637.88</v>
      </c>
      <c r="E72" s="6">
        <v>2904.8</v>
      </c>
      <c r="F72" s="6">
        <v>0</v>
      </c>
      <c r="G72" s="6">
        <v>0</v>
      </c>
      <c r="H72" s="6">
        <f t="shared" si="8"/>
        <v>0</v>
      </c>
      <c r="I72" s="26">
        <v>0</v>
      </c>
      <c r="J72" s="32">
        <f t="shared" si="9"/>
        <v>0</v>
      </c>
      <c r="K72" s="24"/>
      <c r="L72" s="163">
        <f t="shared" si="19"/>
        <v>0</v>
      </c>
      <c r="M72" s="163">
        <f t="shared" si="22"/>
        <v>3637.88</v>
      </c>
      <c r="N72" s="163">
        <f t="shared" si="23"/>
        <v>2904.8</v>
      </c>
      <c r="O72" s="163">
        <f t="shared" si="20"/>
        <v>0</v>
      </c>
      <c r="P72" s="163">
        <f t="shared" si="21"/>
        <v>6542.68</v>
      </c>
      <c r="Q72" s="162"/>
      <c r="R72" s="162"/>
      <c r="S72" s="162"/>
      <c r="T72" s="162"/>
      <c r="U72" s="162"/>
      <c r="V72" s="162"/>
      <c r="W72" s="162"/>
      <c r="X72" s="163"/>
      <c r="Y72" s="163"/>
      <c r="Z72" s="164"/>
      <c r="AA72" s="164"/>
      <c r="AB72" s="29"/>
    </row>
    <row r="73" spans="1:28" x14ac:dyDescent="0.25">
      <c r="A73" s="5">
        <v>6341</v>
      </c>
      <c r="B73" s="5" t="s">
        <v>115</v>
      </c>
      <c r="C73" s="6">
        <v>0</v>
      </c>
      <c r="D73" s="6">
        <v>0</v>
      </c>
      <c r="E73" s="6">
        <v>12132</v>
      </c>
      <c r="F73" s="6">
        <v>0</v>
      </c>
      <c r="G73" s="6">
        <v>0</v>
      </c>
      <c r="H73" s="6">
        <v>0</v>
      </c>
      <c r="I73" s="26">
        <v>0</v>
      </c>
      <c r="J73" s="32">
        <f t="shared" si="9"/>
        <v>0</v>
      </c>
      <c r="K73" s="24"/>
      <c r="L73" s="163">
        <f t="shared" si="19"/>
        <v>0</v>
      </c>
      <c r="M73" s="163">
        <f t="shared" si="22"/>
        <v>0</v>
      </c>
      <c r="N73" s="163">
        <f t="shared" si="23"/>
        <v>12132</v>
      </c>
      <c r="O73" s="163">
        <f t="shared" si="20"/>
        <v>0</v>
      </c>
      <c r="P73" s="163">
        <f t="shared" si="21"/>
        <v>12132</v>
      </c>
      <c r="Q73" s="162"/>
      <c r="R73" s="162"/>
      <c r="S73" s="162"/>
      <c r="T73" s="162"/>
      <c r="U73" s="162"/>
      <c r="V73" s="162"/>
      <c r="W73" s="162"/>
      <c r="X73" s="163"/>
      <c r="Y73" s="163"/>
      <c r="Z73" s="164"/>
      <c r="AA73" s="164"/>
      <c r="AB73" s="29"/>
    </row>
    <row r="74" spans="1:28" x14ac:dyDescent="0.25">
      <c r="A74" s="5">
        <v>6360</v>
      </c>
      <c r="B74" s="5" t="s">
        <v>117</v>
      </c>
      <c r="C74" s="6">
        <v>0</v>
      </c>
      <c r="D74" s="6">
        <v>0</v>
      </c>
      <c r="E74" s="6">
        <v>242.16</v>
      </c>
      <c r="F74" s="6"/>
      <c r="G74" s="6"/>
      <c r="H74" s="6"/>
      <c r="I74" s="26">
        <v>0</v>
      </c>
      <c r="J74" s="32">
        <f t="shared" si="9"/>
        <v>0</v>
      </c>
      <c r="K74" s="24"/>
      <c r="L74" s="163">
        <f t="shared" si="19"/>
        <v>0</v>
      </c>
      <c r="M74" s="163">
        <f t="shared" si="22"/>
        <v>0</v>
      </c>
      <c r="N74" s="163">
        <f t="shared" si="23"/>
        <v>242.16</v>
      </c>
      <c r="O74" s="163">
        <f t="shared" si="20"/>
        <v>0</v>
      </c>
      <c r="P74" s="163">
        <f t="shared" si="21"/>
        <v>242.16</v>
      </c>
      <c r="Q74" s="162"/>
      <c r="R74" s="162"/>
      <c r="S74" s="162"/>
      <c r="T74" s="162"/>
      <c r="U74" s="162"/>
      <c r="V74" s="162"/>
      <c r="W74" s="162"/>
      <c r="X74" s="163"/>
      <c r="Y74" s="163"/>
      <c r="Z74" s="164"/>
      <c r="AA74" s="164"/>
      <c r="AB74" s="29"/>
    </row>
    <row r="75" spans="1:28" x14ac:dyDescent="0.25">
      <c r="A75" s="5">
        <v>6420</v>
      </c>
      <c r="B75" s="24" t="s">
        <v>102</v>
      </c>
      <c r="C75" s="6">
        <v>0</v>
      </c>
      <c r="D75" s="6">
        <v>3279.07</v>
      </c>
      <c r="E75" s="6">
        <v>7877.2</v>
      </c>
      <c r="F75" s="6">
        <v>0</v>
      </c>
      <c r="G75" s="6">
        <v>10487.95</v>
      </c>
      <c r="H75" s="6">
        <f t="shared" si="8"/>
        <v>10487.95</v>
      </c>
      <c r="I75" s="26">
        <v>0</v>
      </c>
      <c r="J75" s="32">
        <f t="shared" si="9"/>
        <v>10487.95</v>
      </c>
      <c r="K75" s="24" t="s">
        <v>4</v>
      </c>
      <c r="L75" s="163">
        <f t="shared" si="19"/>
        <v>0</v>
      </c>
      <c r="M75" s="163">
        <f t="shared" si="22"/>
        <v>3279.07</v>
      </c>
      <c r="N75" s="163">
        <f t="shared" si="23"/>
        <v>7877.2</v>
      </c>
      <c r="O75" s="163">
        <f t="shared" si="20"/>
        <v>10487.95</v>
      </c>
      <c r="P75" s="163">
        <f t="shared" si="21"/>
        <v>21644.22</v>
      </c>
      <c r="Q75" s="162"/>
      <c r="R75" s="162"/>
      <c r="S75" s="162"/>
      <c r="T75" s="162"/>
      <c r="U75" s="162"/>
      <c r="V75" s="162"/>
      <c r="W75" s="162"/>
      <c r="X75" s="163"/>
      <c r="Y75" s="163"/>
      <c r="Z75" s="164"/>
      <c r="AA75" s="164"/>
      <c r="AB75" s="29"/>
    </row>
    <row r="76" spans="1:28" x14ac:dyDescent="0.25">
      <c r="A76" s="5">
        <v>6440</v>
      </c>
      <c r="B76" s="24" t="s">
        <v>103</v>
      </c>
      <c r="C76" s="6">
        <v>0</v>
      </c>
      <c r="D76" s="6">
        <v>845.83</v>
      </c>
      <c r="E76" s="6">
        <v>2283.6999999999998</v>
      </c>
      <c r="F76" s="6">
        <v>0</v>
      </c>
      <c r="G76" s="6">
        <v>11785.11</v>
      </c>
      <c r="H76" s="6">
        <f t="shared" si="8"/>
        <v>11785.11</v>
      </c>
      <c r="I76" s="26">
        <v>0</v>
      </c>
      <c r="J76" s="32">
        <f t="shared" si="9"/>
        <v>11785.11</v>
      </c>
      <c r="K76" s="24" t="s">
        <v>4</v>
      </c>
      <c r="L76" s="163">
        <f t="shared" si="19"/>
        <v>0</v>
      </c>
      <c r="M76" s="163">
        <f t="shared" si="22"/>
        <v>845.83</v>
      </c>
      <c r="N76" s="163">
        <f t="shared" si="23"/>
        <v>2283.6999999999998</v>
      </c>
      <c r="O76" s="163">
        <f t="shared" si="20"/>
        <v>11785.11</v>
      </c>
      <c r="P76" s="163">
        <f t="shared" si="21"/>
        <v>14914.64</v>
      </c>
      <c r="Q76" s="162"/>
      <c r="R76" s="162"/>
      <c r="S76" s="162"/>
      <c r="T76" s="162"/>
      <c r="U76" s="162"/>
      <c r="V76" s="162"/>
      <c r="W76" s="162"/>
      <c r="X76" s="163"/>
      <c r="Y76" s="163"/>
      <c r="Z76" s="164"/>
      <c r="AA76" s="164"/>
      <c r="AB76" s="29"/>
    </row>
    <row r="77" spans="1:28" x14ac:dyDescent="0.25">
      <c r="A77" s="5">
        <v>6500</v>
      </c>
      <c r="B77" s="24" t="s">
        <v>30</v>
      </c>
      <c r="C77" s="6">
        <v>0</v>
      </c>
      <c r="D77" s="6">
        <v>1600</v>
      </c>
      <c r="E77" s="6">
        <v>0</v>
      </c>
      <c r="F77" s="6">
        <v>0</v>
      </c>
      <c r="G77" s="6">
        <v>135.19999999999999</v>
      </c>
      <c r="H77" s="6">
        <f t="shared" si="8"/>
        <v>135.19999999999999</v>
      </c>
      <c r="I77" s="26">
        <v>0</v>
      </c>
      <c r="J77" s="32">
        <f t="shared" si="9"/>
        <v>135.19999999999999</v>
      </c>
      <c r="K77" s="24" t="s">
        <v>4</v>
      </c>
      <c r="L77" s="163">
        <f t="shared" si="19"/>
        <v>0</v>
      </c>
      <c r="M77" s="163">
        <f t="shared" si="22"/>
        <v>1600</v>
      </c>
      <c r="N77" s="163">
        <f t="shared" si="23"/>
        <v>0</v>
      </c>
      <c r="O77" s="163">
        <f t="shared" si="20"/>
        <v>135.19999999999999</v>
      </c>
      <c r="P77" s="163">
        <f t="shared" si="21"/>
        <v>1735.2</v>
      </c>
      <c r="Q77" s="162"/>
      <c r="R77" s="162"/>
      <c r="S77" s="162"/>
      <c r="T77" s="162"/>
      <c r="U77" s="162"/>
      <c r="V77" s="162"/>
      <c r="W77" s="162"/>
      <c r="X77" s="163"/>
      <c r="Y77" s="163"/>
      <c r="Z77" s="164"/>
      <c r="AA77" s="164"/>
      <c r="AB77" s="29"/>
    </row>
    <row r="78" spans="1:28" x14ac:dyDescent="0.25">
      <c r="A78" s="5">
        <v>6510</v>
      </c>
      <c r="B78" s="24" t="s">
        <v>140</v>
      </c>
      <c r="C78" s="6">
        <v>9177.1200000000008</v>
      </c>
      <c r="D78" s="6">
        <v>0</v>
      </c>
      <c r="E78" s="6">
        <v>0</v>
      </c>
      <c r="F78" s="6">
        <v>0</v>
      </c>
      <c r="G78" s="6">
        <v>0</v>
      </c>
      <c r="H78" s="6">
        <f t="shared" si="8"/>
        <v>0</v>
      </c>
      <c r="I78" s="26">
        <v>0</v>
      </c>
      <c r="J78" s="32">
        <f t="shared" ref="J78:J118" si="24">H78+I78</f>
        <v>0</v>
      </c>
      <c r="K78" s="24"/>
      <c r="L78" s="163">
        <f t="shared" si="19"/>
        <v>9177.1200000000008</v>
      </c>
      <c r="M78" s="163">
        <f t="shared" si="22"/>
        <v>0</v>
      </c>
      <c r="N78" s="163">
        <f t="shared" si="23"/>
        <v>0</v>
      </c>
      <c r="O78" s="163">
        <f t="shared" si="20"/>
        <v>0</v>
      </c>
      <c r="P78" s="163">
        <f t="shared" si="21"/>
        <v>9177.1200000000008</v>
      </c>
      <c r="Q78" s="162"/>
      <c r="R78" s="162"/>
      <c r="S78" s="162"/>
      <c r="T78" s="162"/>
      <c r="U78" s="162"/>
      <c r="V78" s="162"/>
      <c r="W78" s="162"/>
      <c r="X78" s="163"/>
      <c r="Y78" s="163"/>
      <c r="Z78" s="164"/>
      <c r="AA78" s="164"/>
      <c r="AB78" s="29"/>
    </row>
    <row r="79" spans="1:28" x14ac:dyDescent="0.25">
      <c r="A79" s="5">
        <v>6540</v>
      </c>
      <c r="B79" s="24" t="s">
        <v>31</v>
      </c>
      <c r="C79" s="6">
        <v>0</v>
      </c>
      <c r="D79" s="6">
        <v>8387.2000000000007</v>
      </c>
      <c r="E79" s="6">
        <v>8085.6</v>
      </c>
      <c r="F79" s="6">
        <v>0</v>
      </c>
      <c r="G79" s="6">
        <v>20685.400000000001</v>
      </c>
      <c r="H79" s="6">
        <f t="shared" si="8"/>
        <v>20685.400000000001</v>
      </c>
      <c r="I79" s="26">
        <v>0</v>
      </c>
      <c r="J79" s="32">
        <f t="shared" si="24"/>
        <v>20685.400000000001</v>
      </c>
      <c r="K79" s="24" t="s">
        <v>4</v>
      </c>
      <c r="L79" s="163">
        <f t="shared" si="19"/>
        <v>0</v>
      </c>
      <c r="M79" s="163">
        <f t="shared" si="22"/>
        <v>8387.2000000000007</v>
      </c>
      <c r="N79" s="163">
        <f t="shared" si="23"/>
        <v>8085.6</v>
      </c>
      <c r="O79" s="163">
        <f t="shared" si="20"/>
        <v>20685.400000000001</v>
      </c>
      <c r="P79" s="163">
        <f t="shared" si="21"/>
        <v>37158.200000000004</v>
      </c>
      <c r="Q79" s="162"/>
      <c r="R79" s="162"/>
      <c r="S79" s="162"/>
      <c r="T79" s="162"/>
      <c r="U79" s="162"/>
      <c r="V79" s="162"/>
      <c r="W79" s="162"/>
      <c r="X79" s="163"/>
      <c r="Y79" s="163"/>
      <c r="Z79" s="164"/>
      <c r="AA79" s="164"/>
      <c r="AB79" s="29"/>
    </row>
    <row r="80" spans="1:28" x14ac:dyDescent="0.25">
      <c r="A80" s="5">
        <v>6551</v>
      </c>
      <c r="B80" s="24" t="s">
        <v>41</v>
      </c>
      <c r="C80" s="6">
        <v>0</v>
      </c>
      <c r="D80" s="6">
        <v>22469.919999999998</v>
      </c>
      <c r="E80" s="6">
        <v>6000</v>
      </c>
      <c r="F80" s="6">
        <v>0</v>
      </c>
      <c r="G80" s="6">
        <v>12312</v>
      </c>
      <c r="H80" s="6">
        <f t="shared" si="8"/>
        <v>12312</v>
      </c>
      <c r="I80" s="26">
        <v>0</v>
      </c>
      <c r="J80" s="32">
        <f t="shared" si="24"/>
        <v>12312</v>
      </c>
      <c r="K80" s="24" t="s">
        <v>4</v>
      </c>
      <c r="L80" s="163">
        <f t="shared" si="19"/>
        <v>0</v>
      </c>
      <c r="M80" s="163">
        <f t="shared" si="22"/>
        <v>22469.919999999998</v>
      </c>
      <c r="N80" s="163">
        <f t="shared" si="23"/>
        <v>6000</v>
      </c>
      <c r="O80" s="163">
        <f t="shared" si="20"/>
        <v>12312</v>
      </c>
      <c r="P80" s="163">
        <f t="shared" si="21"/>
        <v>40781.919999999998</v>
      </c>
      <c r="Q80" s="162"/>
      <c r="R80" s="162"/>
      <c r="S80" s="162"/>
      <c r="T80" s="162"/>
      <c r="U80" s="162"/>
      <c r="V80" s="162"/>
      <c r="W80" s="162"/>
      <c r="X80" s="163"/>
      <c r="Y80" s="163"/>
      <c r="Z80" s="164"/>
      <c r="AA80" s="164"/>
      <c r="AB80" s="29"/>
    </row>
    <row r="81" spans="1:28" x14ac:dyDescent="0.25">
      <c r="A81" s="5">
        <v>6552</v>
      </c>
      <c r="B81" s="24" t="s">
        <v>84</v>
      </c>
      <c r="C81" s="6">
        <v>531.96</v>
      </c>
      <c r="D81" s="6">
        <v>0</v>
      </c>
      <c r="E81" s="6">
        <v>1073.23</v>
      </c>
      <c r="F81" s="6">
        <v>0</v>
      </c>
      <c r="G81" s="6">
        <v>505.44</v>
      </c>
      <c r="H81" s="6">
        <f t="shared" si="8"/>
        <v>505.44</v>
      </c>
      <c r="I81" s="26">
        <v>0</v>
      </c>
      <c r="J81" s="32">
        <f t="shared" si="24"/>
        <v>505.44</v>
      </c>
      <c r="K81" s="24" t="s">
        <v>4</v>
      </c>
      <c r="L81" s="163">
        <f t="shared" si="19"/>
        <v>531.96</v>
      </c>
      <c r="M81" s="163">
        <f t="shared" si="22"/>
        <v>0</v>
      </c>
      <c r="N81" s="163">
        <f t="shared" si="23"/>
        <v>1073.23</v>
      </c>
      <c r="O81" s="163">
        <f t="shared" si="20"/>
        <v>505.44</v>
      </c>
      <c r="P81" s="163">
        <f t="shared" si="21"/>
        <v>2110.63</v>
      </c>
      <c r="Q81" s="162"/>
      <c r="R81" s="162"/>
      <c r="S81" s="162"/>
      <c r="T81" s="162"/>
      <c r="U81" s="162"/>
      <c r="V81" s="162"/>
      <c r="W81" s="162"/>
      <c r="X81" s="163"/>
      <c r="Y81" s="163"/>
      <c r="Z81" s="164"/>
      <c r="AA81" s="164"/>
      <c r="AB81" s="29"/>
    </row>
    <row r="82" spans="1:28" x14ac:dyDescent="0.25">
      <c r="A82" s="5">
        <v>6553</v>
      </c>
      <c r="B82" s="24" t="s">
        <v>32</v>
      </c>
      <c r="C82" s="6">
        <v>264</v>
      </c>
      <c r="D82" s="6">
        <v>8490.19</v>
      </c>
      <c r="E82" s="6">
        <v>11045.46</v>
      </c>
      <c r="F82" s="6">
        <v>0</v>
      </c>
      <c r="G82" s="6">
        <v>10091.59</v>
      </c>
      <c r="H82" s="6">
        <f t="shared" si="8"/>
        <v>10091.59</v>
      </c>
      <c r="I82" s="26">
        <v>0</v>
      </c>
      <c r="J82" s="32">
        <f t="shared" si="24"/>
        <v>10091.59</v>
      </c>
      <c r="K82" s="24" t="s">
        <v>4</v>
      </c>
      <c r="L82" s="163">
        <f t="shared" si="19"/>
        <v>264</v>
      </c>
      <c r="M82" s="163">
        <f t="shared" si="22"/>
        <v>8490.19</v>
      </c>
      <c r="N82" s="163">
        <f t="shared" si="23"/>
        <v>11045.46</v>
      </c>
      <c r="O82" s="163">
        <f t="shared" si="20"/>
        <v>10091.59</v>
      </c>
      <c r="P82" s="163">
        <f t="shared" si="21"/>
        <v>29891.24</v>
      </c>
      <c r="Q82" s="162"/>
      <c r="R82" s="162"/>
      <c r="S82" s="162"/>
      <c r="T82" s="162"/>
      <c r="U82" s="162"/>
      <c r="V82" s="162"/>
      <c r="W82" s="162"/>
      <c r="X82" s="163"/>
      <c r="Y82" s="163"/>
      <c r="Z82" s="164"/>
      <c r="AA82" s="164"/>
      <c r="AB82" s="29"/>
    </row>
    <row r="83" spans="1:28" x14ac:dyDescent="0.25">
      <c r="A83" s="5">
        <v>6560</v>
      </c>
      <c r="B83" s="24" t="s">
        <v>33</v>
      </c>
      <c r="C83" s="6">
        <v>0</v>
      </c>
      <c r="D83" s="6">
        <v>976.72</v>
      </c>
      <c r="E83" s="6">
        <v>1600</v>
      </c>
      <c r="F83" s="6">
        <v>0</v>
      </c>
      <c r="G83" s="6">
        <v>-359</v>
      </c>
      <c r="H83" s="6">
        <f t="shared" si="8"/>
        <v>-359</v>
      </c>
      <c r="I83" s="26">
        <v>0</v>
      </c>
      <c r="J83" s="32">
        <f t="shared" si="24"/>
        <v>-359</v>
      </c>
      <c r="K83" s="24" t="s">
        <v>4</v>
      </c>
      <c r="L83" s="163">
        <f t="shared" si="19"/>
        <v>0</v>
      </c>
      <c r="M83" s="163">
        <f t="shared" si="22"/>
        <v>976.72</v>
      </c>
      <c r="N83" s="163">
        <f t="shared" si="23"/>
        <v>1600</v>
      </c>
      <c r="O83" s="163">
        <f t="shared" si="20"/>
        <v>-359</v>
      </c>
      <c r="P83" s="163">
        <f t="shared" si="21"/>
        <v>2217.7200000000003</v>
      </c>
      <c r="Q83" s="162"/>
      <c r="R83" s="162"/>
      <c r="S83" s="162"/>
      <c r="T83" s="162"/>
      <c r="U83" s="162"/>
      <c r="V83" s="162"/>
      <c r="W83" s="162"/>
      <c r="X83" s="163"/>
      <c r="Y83" s="163"/>
      <c r="Z83" s="164"/>
      <c r="AA83" s="164"/>
      <c r="AB83" s="29"/>
    </row>
    <row r="84" spans="1:28" x14ac:dyDescent="0.25">
      <c r="A84" s="5">
        <v>6590</v>
      </c>
      <c r="B84" s="24" t="s">
        <v>124</v>
      </c>
      <c r="C84" s="6">
        <v>0</v>
      </c>
      <c r="D84" s="6">
        <v>0</v>
      </c>
      <c r="E84" s="6">
        <v>0</v>
      </c>
      <c r="F84" s="6">
        <v>0</v>
      </c>
      <c r="G84" s="6">
        <v>485</v>
      </c>
      <c r="H84" s="6">
        <f t="shared" si="8"/>
        <v>485</v>
      </c>
      <c r="I84" s="26">
        <v>0</v>
      </c>
      <c r="J84" s="32">
        <f t="shared" si="24"/>
        <v>485</v>
      </c>
      <c r="K84" s="24" t="s">
        <v>4</v>
      </c>
      <c r="L84" s="163">
        <f t="shared" si="19"/>
        <v>0</v>
      </c>
      <c r="M84" s="163">
        <f t="shared" si="22"/>
        <v>0</v>
      </c>
      <c r="N84" s="163">
        <f t="shared" si="23"/>
        <v>0</v>
      </c>
      <c r="O84" s="163">
        <f t="shared" si="20"/>
        <v>485</v>
      </c>
      <c r="P84" s="163">
        <f t="shared" si="21"/>
        <v>485</v>
      </c>
      <c r="Q84" s="162"/>
      <c r="R84" s="162"/>
      <c r="S84" s="162"/>
      <c r="T84" s="162"/>
      <c r="U84" s="162"/>
      <c r="V84" s="162"/>
      <c r="W84" s="162"/>
      <c r="X84" s="163"/>
      <c r="Y84" s="163"/>
      <c r="Z84" s="164"/>
      <c r="AA84" s="164"/>
      <c r="AB84" s="29"/>
    </row>
    <row r="85" spans="1:28" x14ac:dyDescent="0.25">
      <c r="A85" s="5">
        <v>6702</v>
      </c>
      <c r="B85" s="5" t="s">
        <v>107</v>
      </c>
      <c r="C85" s="6">
        <v>0</v>
      </c>
      <c r="D85" s="6">
        <v>6000</v>
      </c>
      <c r="E85" s="6">
        <v>0</v>
      </c>
      <c r="F85" s="6">
        <v>0</v>
      </c>
      <c r="G85" s="6">
        <v>0</v>
      </c>
      <c r="H85" s="6">
        <f t="shared" si="8"/>
        <v>0</v>
      </c>
      <c r="I85" s="26">
        <v>0</v>
      </c>
      <c r="J85" s="32">
        <f t="shared" si="24"/>
        <v>0</v>
      </c>
      <c r="K85" s="24"/>
      <c r="L85" s="163">
        <f t="shared" si="19"/>
        <v>0</v>
      </c>
      <c r="M85" s="163">
        <f t="shared" si="22"/>
        <v>6000</v>
      </c>
      <c r="N85" s="163">
        <f t="shared" si="23"/>
        <v>0</v>
      </c>
      <c r="O85" s="163">
        <f t="shared" si="20"/>
        <v>0</v>
      </c>
      <c r="P85" s="163">
        <f t="shared" si="21"/>
        <v>6000</v>
      </c>
      <c r="Q85" s="162"/>
      <c r="R85" s="162"/>
      <c r="S85" s="162"/>
      <c r="T85" s="162"/>
      <c r="U85" s="162"/>
      <c r="V85" s="162"/>
      <c r="W85" s="162"/>
      <c r="X85" s="163"/>
      <c r="Y85" s="163"/>
      <c r="Z85" s="164"/>
      <c r="AA85" s="164"/>
      <c r="AB85" s="29"/>
    </row>
    <row r="86" spans="1:28" x14ac:dyDescent="0.25">
      <c r="A86" s="5">
        <v>6705</v>
      </c>
      <c r="B86" s="24" t="s">
        <v>109</v>
      </c>
      <c r="C86" s="6">
        <v>0</v>
      </c>
      <c r="D86" s="6">
        <v>2464</v>
      </c>
      <c r="E86" s="6">
        <v>3791</v>
      </c>
      <c r="F86" s="6">
        <v>0</v>
      </c>
      <c r="G86" s="6">
        <v>7664</v>
      </c>
      <c r="H86" s="6">
        <f t="shared" si="8"/>
        <v>7664</v>
      </c>
      <c r="I86" s="26">
        <v>0</v>
      </c>
      <c r="J86" s="32">
        <f t="shared" si="24"/>
        <v>7664</v>
      </c>
      <c r="K86" s="24" t="s">
        <v>4</v>
      </c>
      <c r="L86" s="163">
        <f t="shared" si="19"/>
        <v>0</v>
      </c>
      <c r="M86" s="163">
        <f t="shared" si="22"/>
        <v>2464</v>
      </c>
      <c r="N86" s="163">
        <f t="shared" si="23"/>
        <v>3791</v>
      </c>
      <c r="O86" s="163">
        <f t="shared" si="20"/>
        <v>7664</v>
      </c>
      <c r="P86" s="163">
        <f t="shared" si="21"/>
        <v>13919</v>
      </c>
      <c r="Q86" s="162"/>
      <c r="R86" s="162"/>
      <c r="S86" s="162"/>
      <c r="T86" s="162"/>
      <c r="U86" s="162"/>
      <c r="V86" s="162"/>
      <c r="W86" s="162"/>
      <c r="X86" s="163"/>
      <c r="Y86" s="163"/>
      <c r="Z86" s="164"/>
      <c r="AA86" s="164"/>
      <c r="AB86" s="29"/>
    </row>
    <row r="87" spans="1:28" x14ac:dyDescent="0.25">
      <c r="A87" s="5">
        <v>6800</v>
      </c>
      <c r="B87" s="24" t="s">
        <v>34</v>
      </c>
      <c r="C87" s="6">
        <v>0</v>
      </c>
      <c r="D87" s="6">
        <v>0</v>
      </c>
      <c r="E87" s="6">
        <v>0</v>
      </c>
      <c r="F87" s="6">
        <v>0</v>
      </c>
      <c r="G87" s="6">
        <v>14103.48</v>
      </c>
      <c r="H87" s="6">
        <f t="shared" si="8"/>
        <v>14103.48</v>
      </c>
      <c r="I87" s="26">
        <v>0</v>
      </c>
      <c r="J87" s="32">
        <f t="shared" si="24"/>
        <v>14103.48</v>
      </c>
      <c r="K87" s="24" t="s">
        <v>4</v>
      </c>
      <c r="L87" s="163">
        <f t="shared" si="19"/>
        <v>0</v>
      </c>
      <c r="M87" s="163">
        <f t="shared" si="22"/>
        <v>0</v>
      </c>
      <c r="N87" s="163">
        <f t="shared" si="23"/>
        <v>0</v>
      </c>
      <c r="O87" s="163">
        <f t="shared" si="20"/>
        <v>14103.48</v>
      </c>
      <c r="P87" s="163">
        <f t="shared" si="21"/>
        <v>14103.48</v>
      </c>
      <c r="Q87" s="162"/>
      <c r="R87" s="162"/>
      <c r="S87" s="162"/>
      <c r="T87" s="162"/>
      <c r="U87" s="162"/>
      <c r="V87" s="162"/>
      <c r="W87" s="162"/>
      <c r="X87" s="163"/>
      <c r="Y87" s="163"/>
      <c r="Z87" s="164"/>
      <c r="AA87" s="164"/>
      <c r="AB87" s="29"/>
    </row>
    <row r="88" spans="1:28" x14ac:dyDescent="0.25">
      <c r="A88" s="5">
        <v>6901</v>
      </c>
      <c r="B88" s="24" t="s">
        <v>112</v>
      </c>
      <c r="C88" s="6">
        <v>0</v>
      </c>
      <c r="D88" s="6">
        <v>0</v>
      </c>
      <c r="E88" s="6">
        <v>0</v>
      </c>
      <c r="F88" s="6">
        <v>0</v>
      </c>
      <c r="G88" s="6">
        <v>35973.050000000003</v>
      </c>
      <c r="H88" s="6">
        <f t="shared" si="8"/>
        <v>35973.050000000003</v>
      </c>
      <c r="I88" s="26">
        <v>0</v>
      </c>
      <c r="J88" s="32">
        <f t="shared" si="24"/>
        <v>35973.050000000003</v>
      </c>
      <c r="K88" s="24" t="s">
        <v>4</v>
      </c>
      <c r="L88" s="163">
        <f t="shared" si="19"/>
        <v>0</v>
      </c>
      <c r="M88" s="163">
        <f t="shared" si="22"/>
        <v>0</v>
      </c>
      <c r="N88" s="163">
        <f t="shared" si="23"/>
        <v>0</v>
      </c>
      <c r="O88" s="163">
        <f t="shared" si="20"/>
        <v>35973.050000000003</v>
      </c>
      <c r="P88" s="163">
        <f t="shared" si="21"/>
        <v>35973.050000000003</v>
      </c>
      <c r="Q88" s="162"/>
      <c r="R88" s="162"/>
      <c r="S88" s="162"/>
      <c r="T88" s="162"/>
      <c r="U88" s="162"/>
      <c r="V88" s="162"/>
      <c r="W88" s="162"/>
      <c r="X88" s="163"/>
      <c r="Y88" s="163"/>
      <c r="Z88" s="164"/>
      <c r="AA88" s="164"/>
      <c r="AB88" s="29"/>
    </row>
    <row r="89" spans="1:28" x14ac:dyDescent="0.25">
      <c r="A89" s="5">
        <v>6907</v>
      </c>
      <c r="B89" s="24" t="s">
        <v>129</v>
      </c>
      <c r="C89" s="6">
        <v>0</v>
      </c>
      <c r="D89" s="6">
        <v>0</v>
      </c>
      <c r="E89" s="6">
        <v>0</v>
      </c>
      <c r="F89" s="6">
        <v>0</v>
      </c>
      <c r="G89" s="6">
        <v>6870.6</v>
      </c>
      <c r="H89" s="6">
        <f t="shared" si="8"/>
        <v>6870.6</v>
      </c>
      <c r="I89" s="26">
        <v>0</v>
      </c>
      <c r="J89" s="32">
        <f t="shared" si="24"/>
        <v>6870.6</v>
      </c>
      <c r="K89" s="24" t="s">
        <v>4</v>
      </c>
      <c r="L89" s="163">
        <f t="shared" si="19"/>
        <v>0</v>
      </c>
      <c r="M89" s="163">
        <f t="shared" si="22"/>
        <v>0</v>
      </c>
      <c r="N89" s="163">
        <f t="shared" si="23"/>
        <v>0</v>
      </c>
      <c r="O89" s="163">
        <f t="shared" si="20"/>
        <v>6870.6</v>
      </c>
      <c r="P89" s="163">
        <f t="shared" si="21"/>
        <v>6870.6</v>
      </c>
      <c r="Q89" s="162"/>
      <c r="R89" s="162"/>
      <c r="S89" s="162"/>
      <c r="T89" s="162"/>
      <c r="U89" s="162"/>
      <c r="V89" s="162"/>
      <c r="W89" s="162"/>
      <c r="X89" s="163"/>
      <c r="Y89" s="163"/>
      <c r="Z89" s="164"/>
      <c r="AA89" s="164"/>
      <c r="AB89" s="29"/>
    </row>
    <row r="90" spans="1:28" x14ac:dyDescent="0.25">
      <c r="A90" s="5">
        <v>6725</v>
      </c>
      <c r="B90" s="24" t="s">
        <v>110</v>
      </c>
      <c r="C90" s="6">
        <v>0</v>
      </c>
      <c r="D90" s="6">
        <v>12000</v>
      </c>
      <c r="E90" s="6">
        <v>53278.400000000001</v>
      </c>
      <c r="F90" s="6">
        <v>0</v>
      </c>
      <c r="G90" s="6">
        <v>0</v>
      </c>
      <c r="H90" s="6">
        <f t="shared" si="8"/>
        <v>0</v>
      </c>
      <c r="I90" s="26">
        <v>0</v>
      </c>
      <c r="J90" s="32">
        <f t="shared" si="24"/>
        <v>0</v>
      </c>
      <c r="K90" s="24"/>
      <c r="L90" s="163">
        <f t="shared" si="19"/>
        <v>0</v>
      </c>
      <c r="M90" s="163">
        <f t="shared" si="22"/>
        <v>12000</v>
      </c>
      <c r="N90" s="163">
        <f t="shared" si="23"/>
        <v>53278.400000000001</v>
      </c>
      <c r="O90" s="163">
        <f t="shared" si="20"/>
        <v>0</v>
      </c>
      <c r="P90" s="163">
        <f t="shared" si="21"/>
        <v>65278.400000000001</v>
      </c>
      <c r="Q90" s="162"/>
      <c r="R90" s="162"/>
      <c r="S90" s="162"/>
      <c r="T90" s="162"/>
      <c r="U90" s="162"/>
      <c r="V90" s="162"/>
      <c r="W90" s="162"/>
      <c r="X90" s="163"/>
      <c r="Y90" s="163"/>
      <c r="Z90" s="164"/>
      <c r="AA90" s="164"/>
      <c r="AB90" s="29"/>
    </row>
    <row r="91" spans="1:28" x14ac:dyDescent="0.25">
      <c r="A91" s="5">
        <v>6800</v>
      </c>
      <c r="B91" s="24" t="s">
        <v>34</v>
      </c>
      <c r="C91" s="6">
        <v>0</v>
      </c>
      <c r="D91" s="6">
        <v>15034.31</v>
      </c>
      <c r="E91" s="6">
        <v>19734.61</v>
      </c>
      <c r="F91" s="6">
        <v>0</v>
      </c>
      <c r="G91" s="6">
        <v>0</v>
      </c>
      <c r="H91" s="6">
        <f t="shared" si="8"/>
        <v>0</v>
      </c>
      <c r="I91" s="26">
        <v>0</v>
      </c>
      <c r="J91" s="32">
        <f t="shared" si="24"/>
        <v>0</v>
      </c>
      <c r="K91" s="24"/>
      <c r="L91" s="163">
        <f t="shared" si="19"/>
        <v>0</v>
      </c>
      <c r="M91" s="163">
        <f t="shared" si="22"/>
        <v>15034.31</v>
      </c>
      <c r="N91" s="163">
        <f t="shared" si="23"/>
        <v>19734.61</v>
      </c>
      <c r="O91" s="163">
        <f t="shared" si="20"/>
        <v>0</v>
      </c>
      <c r="P91" s="163">
        <f t="shared" si="21"/>
        <v>34768.92</v>
      </c>
      <c r="Q91" s="162"/>
      <c r="R91" s="162"/>
      <c r="S91" s="162"/>
      <c r="T91" s="162"/>
      <c r="U91" s="162"/>
      <c r="V91" s="162"/>
      <c r="W91" s="162"/>
      <c r="X91" s="163"/>
      <c r="Y91" s="163"/>
      <c r="Z91" s="164"/>
      <c r="AA91" s="164"/>
      <c r="AB91" s="29"/>
    </row>
    <row r="92" spans="1:28" x14ac:dyDescent="0.25">
      <c r="A92" s="5">
        <v>6860</v>
      </c>
      <c r="B92" s="5" t="s">
        <v>128</v>
      </c>
      <c r="C92" s="6">
        <v>0</v>
      </c>
      <c r="D92" s="6">
        <v>0</v>
      </c>
      <c r="E92" s="6">
        <v>5304</v>
      </c>
      <c r="F92" s="6">
        <v>0</v>
      </c>
      <c r="G92" s="6">
        <v>0</v>
      </c>
      <c r="H92" s="6">
        <f t="shared" si="8"/>
        <v>0</v>
      </c>
      <c r="I92" s="26">
        <v>0</v>
      </c>
      <c r="J92" s="32">
        <f t="shared" si="24"/>
        <v>0</v>
      </c>
      <c r="K92" s="24"/>
      <c r="L92" s="163">
        <f t="shared" si="19"/>
        <v>0</v>
      </c>
      <c r="M92" s="163">
        <f t="shared" si="22"/>
        <v>0</v>
      </c>
      <c r="N92" s="163">
        <f t="shared" si="23"/>
        <v>5304</v>
      </c>
      <c r="O92" s="163">
        <f t="shared" si="20"/>
        <v>0</v>
      </c>
      <c r="P92" s="163">
        <f t="shared" si="21"/>
        <v>5304</v>
      </c>
      <c r="Q92" s="162"/>
      <c r="R92" s="162"/>
      <c r="S92" s="162"/>
      <c r="T92" s="162"/>
      <c r="U92" s="162"/>
      <c r="V92" s="162"/>
      <c r="W92" s="162"/>
      <c r="X92" s="163"/>
      <c r="Y92" s="163"/>
      <c r="Z92" s="164"/>
      <c r="AA92" s="164"/>
      <c r="AB92" s="29"/>
    </row>
    <row r="93" spans="1:28" x14ac:dyDescent="0.25">
      <c r="A93" s="5">
        <v>6901</v>
      </c>
      <c r="B93" s="5" t="s">
        <v>112</v>
      </c>
      <c r="C93" s="6">
        <v>0</v>
      </c>
      <c r="D93" s="6">
        <v>10062.52</v>
      </c>
      <c r="E93" s="6">
        <v>38544.75</v>
      </c>
      <c r="F93" s="6">
        <v>0</v>
      </c>
      <c r="G93" s="6">
        <v>0</v>
      </c>
      <c r="H93" s="6">
        <f t="shared" si="8"/>
        <v>0</v>
      </c>
      <c r="I93" s="26">
        <v>0</v>
      </c>
      <c r="J93" s="32">
        <f t="shared" si="24"/>
        <v>0</v>
      </c>
      <c r="K93" s="24"/>
      <c r="L93" s="163">
        <f t="shared" si="19"/>
        <v>0</v>
      </c>
      <c r="M93" s="163">
        <f t="shared" si="22"/>
        <v>10062.52</v>
      </c>
      <c r="N93" s="163">
        <f t="shared" si="23"/>
        <v>38544.75</v>
      </c>
      <c r="O93" s="163">
        <f t="shared" si="20"/>
        <v>0</v>
      </c>
      <c r="P93" s="163">
        <f t="shared" si="21"/>
        <v>48607.270000000004</v>
      </c>
      <c r="Q93" s="162"/>
      <c r="R93" s="162"/>
      <c r="S93" s="162"/>
      <c r="T93" s="162"/>
      <c r="U93" s="162"/>
      <c r="V93" s="162"/>
      <c r="W93" s="162"/>
      <c r="X93" s="163"/>
      <c r="Y93" s="163"/>
      <c r="Z93" s="164"/>
      <c r="AA93" s="164"/>
      <c r="AB93" s="29"/>
    </row>
    <row r="94" spans="1:28" x14ac:dyDescent="0.25">
      <c r="A94" s="5">
        <v>6903</v>
      </c>
      <c r="B94" s="5" t="s">
        <v>114</v>
      </c>
      <c r="C94" s="6">
        <v>0</v>
      </c>
      <c r="D94" s="6">
        <v>5662.78</v>
      </c>
      <c r="E94" s="6">
        <v>0</v>
      </c>
      <c r="F94" s="6">
        <v>0</v>
      </c>
      <c r="G94" s="6">
        <v>0</v>
      </c>
      <c r="H94" s="6">
        <f t="shared" si="8"/>
        <v>0</v>
      </c>
      <c r="I94" s="26">
        <v>0</v>
      </c>
      <c r="J94" s="32">
        <f t="shared" si="24"/>
        <v>0</v>
      </c>
      <c r="K94" s="24"/>
      <c r="L94" s="163">
        <f t="shared" si="19"/>
        <v>0</v>
      </c>
      <c r="M94" s="163">
        <f t="shared" si="22"/>
        <v>5662.78</v>
      </c>
      <c r="N94" s="163">
        <f t="shared" si="23"/>
        <v>0</v>
      </c>
      <c r="O94" s="163">
        <f t="shared" si="20"/>
        <v>0</v>
      </c>
      <c r="P94" s="163">
        <f t="shared" si="21"/>
        <v>5662.78</v>
      </c>
      <c r="Q94" s="162"/>
      <c r="R94" s="162"/>
      <c r="S94" s="162"/>
      <c r="T94" s="162"/>
      <c r="U94" s="162"/>
      <c r="V94" s="162"/>
      <c r="W94" s="162"/>
      <c r="X94" s="163"/>
      <c r="Y94" s="163"/>
      <c r="Z94" s="164"/>
      <c r="AA94" s="164"/>
      <c r="AB94" s="29"/>
    </row>
    <row r="95" spans="1:28" x14ac:dyDescent="0.25">
      <c r="A95" s="5">
        <v>7130</v>
      </c>
      <c r="B95" s="5" t="s">
        <v>116</v>
      </c>
      <c r="C95" s="6">
        <v>0</v>
      </c>
      <c r="D95" s="6">
        <v>28070</v>
      </c>
      <c r="E95" s="6">
        <v>35943</v>
      </c>
      <c r="F95" s="6">
        <v>0</v>
      </c>
      <c r="G95" s="6">
        <v>0</v>
      </c>
      <c r="H95" s="6">
        <f t="shared" si="8"/>
        <v>0</v>
      </c>
      <c r="I95" s="26">
        <v>0</v>
      </c>
      <c r="J95" s="32">
        <f t="shared" si="24"/>
        <v>0</v>
      </c>
      <c r="K95" s="24"/>
      <c r="L95" s="163">
        <f t="shared" si="19"/>
        <v>0</v>
      </c>
      <c r="M95" s="163">
        <f t="shared" si="22"/>
        <v>28070</v>
      </c>
      <c r="N95" s="163">
        <f t="shared" si="23"/>
        <v>35943</v>
      </c>
      <c r="O95" s="163">
        <f t="shared" si="20"/>
        <v>0</v>
      </c>
      <c r="P95" s="163">
        <f t="shared" si="21"/>
        <v>64013</v>
      </c>
      <c r="Q95" s="162"/>
      <c r="R95" s="162"/>
      <c r="S95" s="162"/>
      <c r="T95" s="162"/>
      <c r="U95" s="162"/>
      <c r="V95" s="162"/>
      <c r="W95" s="162"/>
      <c r="X95" s="163"/>
      <c r="Y95" s="163"/>
      <c r="Z95" s="164"/>
      <c r="AA95" s="164"/>
      <c r="AB95" s="29"/>
    </row>
    <row r="96" spans="1:28" x14ac:dyDescent="0.25">
      <c r="A96" s="5">
        <v>7140</v>
      </c>
      <c r="B96" s="24" t="s">
        <v>118</v>
      </c>
      <c r="C96" s="6">
        <v>0</v>
      </c>
      <c r="D96" s="6">
        <v>12416.8</v>
      </c>
      <c r="E96" s="6">
        <v>22200.720000000001</v>
      </c>
      <c r="F96" s="6">
        <v>0</v>
      </c>
      <c r="G96" s="6">
        <v>4256.9799999999996</v>
      </c>
      <c r="H96" s="6">
        <f t="shared" ref="H96:H118" si="25">F96+G96</f>
        <v>4256.9799999999996</v>
      </c>
      <c r="I96" s="26">
        <v>0</v>
      </c>
      <c r="J96" s="32">
        <f t="shared" si="24"/>
        <v>4256.9799999999996</v>
      </c>
      <c r="K96" s="24" t="s">
        <v>4</v>
      </c>
      <c r="L96" s="163">
        <f t="shared" si="19"/>
        <v>0</v>
      </c>
      <c r="M96" s="163">
        <f t="shared" si="22"/>
        <v>12416.8</v>
      </c>
      <c r="N96" s="163">
        <f t="shared" si="23"/>
        <v>22200.720000000001</v>
      </c>
      <c r="O96" s="163">
        <f t="shared" si="20"/>
        <v>4256.9799999999996</v>
      </c>
      <c r="P96" s="163">
        <f t="shared" si="21"/>
        <v>38874.5</v>
      </c>
      <c r="Q96" s="162"/>
      <c r="R96" s="162"/>
      <c r="S96" s="162"/>
      <c r="T96" s="162"/>
      <c r="U96" s="162"/>
      <c r="V96" s="162"/>
      <c r="W96" s="162"/>
      <c r="X96" s="163"/>
      <c r="Y96" s="163"/>
      <c r="Z96" s="164"/>
      <c r="AA96" s="164"/>
      <c r="AB96" s="29"/>
    </row>
    <row r="97" spans="1:28" x14ac:dyDescent="0.25">
      <c r="A97" s="5">
        <v>7160</v>
      </c>
      <c r="B97" s="5" t="s">
        <v>119</v>
      </c>
      <c r="C97" s="6">
        <v>0</v>
      </c>
      <c r="D97" s="6">
        <v>1092.44</v>
      </c>
      <c r="E97" s="6">
        <v>0</v>
      </c>
      <c r="F97" s="6">
        <v>0</v>
      </c>
      <c r="G97" s="6">
        <v>0</v>
      </c>
      <c r="H97" s="6">
        <f t="shared" si="25"/>
        <v>0</v>
      </c>
      <c r="I97" s="26">
        <v>0</v>
      </c>
      <c r="J97" s="32">
        <f t="shared" si="24"/>
        <v>0</v>
      </c>
      <c r="K97" s="24"/>
      <c r="L97" s="163">
        <f t="shared" si="19"/>
        <v>0</v>
      </c>
      <c r="M97" s="163">
        <f t="shared" si="22"/>
        <v>1092.44</v>
      </c>
      <c r="N97" s="163">
        <f t="shared" si="23"/>
        <v>0</v>
      </c>
      <c r="O97" s="163">
        <f t="shared" si="20"/>
        <v>0</v>
      </c>
      <c r="P97" s="163">
        <f t="shared" si="21"/>
        <v>1092.44</v>
      </c>
      <c r="Q97" s="162"/>
      <c r="R97" s="162"/>
      <c r="S97" s="162"/>
      <c r="T97" s="162"/>
      <c r="U97" s="162"/>
      <c r="V97" s="162"/>
      <c r="W97" s="162"/>
      <c r="X97" s="163"/>
      <c r="Y97" s="163"/>
      <c r="Z97" s="164"/>
      <c r="AA97" s="164"/>
      <c r="AB97" s="29"/>
    </row>
    <row r="98" spans="1:28" ht="13.5" customHeight="1" x14ac:dyDescent="0.25">
      <c r="A98" s="5">
        <v>7321</v>
      </c>
      <c r="B98" s="24" t="s">
        <v>130</v>
      </c>
      <c r="C98" s="6">
        <v>0</v>
      </c>
      <c r="D98" s="6">
        <v>0</v>
      </c>
      <c r="E98" s="6">
        <v>6593.44</v>
      </c>
      <c r="F98" s="6">
        <v>0</v>
      </c>
      <c r="G98" s="6">
        <v>6938.91</v>
      </c>
      <c r="H98" s="6">
        <f t="shared" si="25"/>
        <v>6938.91</v>
      </c>
      <c r="I98" s="26">
        <v>0</v>
      </c>
      <c r="J98" s="32">
        <f t="shared" si="24"/>
        <v>6938.91</v>
      </c>
      <c r="K98" s="24" t="s">
        <v>4</v>
      </c>
      <c r="L98" s="163">
        <f t="shared" si="19"/>
        <v>0</v>
      </c>
      <c r="M98" s="163">
        <f t="shared" si="22"/>
        <v>0</v>
      </c>
      <c r="N98" s="163">
        <f t="shared" si="23"/>
        <v>6593.44</v>
      </c>
      <c r="O98" s="163">
        <f t="shared" si="20"/>
        <v>6938.91</v>
      </c>
      <c r="P98" s="163">
        <f t="shared" si="21"/>
        <v>13532.349999999999</v>
      </c>
      <c r="Q98" s="162"/>
      <c r="R98" s="162"/>
      <c r="S98" s="162"/>
      <c r="T98" s="162"/>
      <c r="U98" s="162"/>
      <c r="V98" s="162"/>
      <c r="W98" s="162"/>
      <c r="X98" s="163"/>
      <c r="Y98" s="163"/>
      <c r="Z98" s="164"/>
      <c r="AA98" s="164"/>
      <c r="AB98" s="29"/>
    </row>
    <row r="99" spans="1:28" ht="13.5" customHeight="1" x14ac:dyDescent="0.25">
      <c r="A99" s="5">
        <v>7329</v>
      </c>
      <c r="B99" s="5" t="s">
        <v>120</v>
      </c>
      <c r="C99" s="6">
        <v>0</v>
      </c>
      <c r="D99" s="6">
        <v>414.4</v>
      </c>
      <c r="E99" s="6">
        <v>7040</v>
      </c>
      <c r="F99" s="6">
        <v>0</v>
      </c>
      <c r="G99" s="6">
        <v>0</v>
      </c>
      <c r="H99" s="6">
        <f t="shared" si="25"/>
        <v>0</v>
      </c>
      <c r="I99" s="26">
        <v>0</v>
      </c>
      <c r="J99" s="32">
        <f t="shared" si="24"/>
        <v>0</v>
      </c>
      <c r="K99" s="24"/>
      <c r="L99" s="163">
        <f t="shared" si="19"/>
        <v>0</v>
      </c>
      <c r="M99" s="163">
        <f t="shared" si="22"/>
        <v>414.4</v>
      </c>
      <c r="N99" s="163">
        <f t="shared" si="23"/>
        <v>7040</v>
      </c>
      <c r="O99" s="163">
        <f t="shared" si="20"/>
        <v>0</v>
      </c>
      <c r="P99" s="163">
        <f t="shared" si="21"/>
        <v>7454.4</v>
      </c>
      <c r="Q99" s="162"/>
      <c r="R99" s="162"/>
      <c r="S99" s="162"/>
      <c r="T99" s="162"/>
      <c r="U99" s="162"/>
      <c r="V99" s="162"/>
      <c r="W99" s="162"/>
      <c r="X99" s="163"/>
      <c r="Y99" s="163"/>
      <c r="Z99" s="164"/>
      <c r="AA99" s="164"/>
      <c r="AB99" s="29"/>
    </row>
    <row r="100" spans="1:28" ht="13.5" customHeight="1" x14ac:dyDescent="0.25">
      <c r="A100" s="5">
        <v>7350</v>
      </c>
      <c r="B100" s="5" t="s">
        <v>121</v>
      </c>
      <c r="C100" s="6">
        <v>0</v>
      </c>
      <c r="D100" s="6">
        <v>4174.95</v>
      </c>
      <c r="E100" s="6">
        <v>0</v>
      </c>
      <c r="F100" s="6">
        <v>0</v>
      </c>
      <c r="G100" s="6">
        <v>0</v>
      </c>
      <c r="H100" s="6">
        <f t="shared" si="25"/>
        <v>0</v>
      </c>
      <c r="I100" s="26">
        <v>0</v>
      </c>
      <c r="J100" s="32">
        <f t="shared" si="24"/>
        <v>0</v>
      </c>
      <c r="K100" s="24"/>
      <c r="L100" s="163">
        <f t="shared" si="19"/>
        <v>0</v>
      </c>
      <c r="M100" s="163">
        <f t="shared" si="22"/>
        <v>4174.95</v>
      </c>
      <c r="N100" s="163">
        <f t="shared" si="23"/>
        <v>0</v>
      </c>
      <c r="O100" s="163">
        <f t="shared" si="20"/>
        <v>0</v>
      </c>
      <c r="P100" s="163">
        <f t="shared" si="21"/>
        <v>4174.95</v>
      </c>
      <c r="Q100" s="162"/>
      <c r="R100" s="162"/>
      <c r="S100" s="162"/>
      <c r="T100" s="162"/>
      <c r="U100" s="162"/>
      <c r="V100" s="162"/>
      <c r="W100" s="162"/>
      <c r="X100" s="163"/>
      <c r="Y100" s="163"/>
      <c r="Z100" s="164"/>
      <c r="AA100" s="164"/>
      <c r="AB100" s="29"/>
    </row>
    <row r="101" spans="1:28" ht="13.5" customHeight="1" x14ac:dyDescent="0.25">
      <c r="A101" s="5">
        <v>7430</v>
      </c>
      <c r="B101" s="24" t="s">
        <v>122</v>
      </c>
      <c r="C101" s="6">
        <v>0</v>
      </c>
      <c r="D101" s="6">
        <v>45</v>
      </c>
      <c r="E101" s="6">
        <v>0</v>
      </c>
      <c r="F101" s="6">
        <v>0</v>
      </c>
      <c r="G101" s="6">
        <v>0</v>
      </c>
      <c r="H101" s="6">
        <f t="shared" si="25"/>
        <v>0</v>
      </c>
      <c r="I101" s="26">
        <v>0</v>
      </c>
      <c r="J101" s="32">
        <f t="shared" si="24"/>
        <v>0</v>
      </c>
      <c r="K101" s="24"/>
      <c r="L101" s="163">
        <f t="shared" si="19"/>
        <v>0</v>
      </c>
      <c r="M101" s="163">
        <f t="shared" si="22"/>
        <v>45</v>
      </c>
      <c r="N101" s="163">
        <f t="shared" si="23"/>
        <v>0</v>
      </c>
      <c r="O101" s="163">
        <f t="shared" si="20"/>
        <v>0</v>
      </c>
      <c r="P101" s="163">
        <f t="shared" si="21"/>
        <v>45</v>
      </c>
      <c r="Q101" s="162"/>
      <c r="R101" s="162"/>
      <c r="S101" s="162"/>
      <c r="T101" s="162"/>
      <c r="U101" s="162"/>
      <c r="V101" s="162"/>
      <c r="W101" s="162"/>
      <c r="X101" s="163"/>
      <c r="Y101" s="163"/>
      <c r="Z101" s="164"/>
      <c r="AA101" s="164"/>
      <c r="AB101" s="29"/>
    </row>
    <row r="102" spans="1:28" ht="13.5" customHeight="1" x14ac:dyDescent="0.25">
      <c r="A102" s="5">
        <v>7711</v>
      </c>
      <c r="B102" s="24" t="s">
        <v>131</v>
      </c>
      <c r="C102" s="6">
        <v>0</v>
      </c>
      <c r="D102" s="6">
        <v>0</v>
      </c>
      <c r="E102" s="6">
        <v>1145.7</v>
      </c>
      <c r="F102" s="6">
        <v>0</v>
      </c>
      <c r="G102" s="6">
        <v>0</v>
      </c>
      <c r="H102" s="6">
        <f t="shared" si="25"/>
        <v>0</v>
      </c>
      <c r="I102" s="26">
        <v>0</v>
      </c>
      <c r="J102" s="32">
        <f t="shared" si="24"/>
        <v>0</v>
      </c>
      <c r="K102" s="24"/>
      <c r="L102" s="163">
        <f t="shared" si="19"/>
        <v>0</v>
      </c>
      <c r="M102" s="163">
        <f t="shared" si="22"/>
        <v>0</v>
      </c>
      <c r="N102" s="163">
        <f t="shared" si="23"/>
        <v>1145.7</v>
      </c>
      <c r="O102" s="163">
        <f t="shared" si="20"/>
        <v>0</v>
      </c>
      <c r="P102" s="163">
        <f t="shared" si="21"/>
        <v>1145.7</v>
      </c>
      <c r="Q102" s="162"/>
      <c r="R102" s="162"/>
      <c r="S102" s="162"/>
      <c r="T102" s="162"/>
      <c r="U102" s="162"/>
      <c r="V102" s="162"/>
      <c r="W102" s="162"/>
      <c r="X102" s="163"/>
      <c r="Y102" s="163"/>
      <c r="Z102" s="164"/>
      <c r="AA102" s="164"/>
      <c r="AB102" s="29"/>
    </row>
    <row r="103" spans="1:28" x14ac:dyDescent="0.25">
      <c r="A103" s="5">
        <v>7740</v>
      </c>
      <c r="B103" s="24" t="s">
        <v>35</v>
      </c>
      <c r="C103" s="6">
        <v>1.49</v>
      </c>
      <c r="D103" s="6">
        <v>13.64</v>
      </c>
      <c r="E103" s="6">
        <v>12.84</v>
      </c>
      <c r="F103" s="6">
        <v>0</v>
      </c>
      <c r="G103" s="6">
        <v>1.57</v>
      </c>
      <c r="H103" s="6">
        <f t="shared" si="25"/>
        <v>1.57</v>
      </c>
      <c r="I103" s="26">
        <v>0</v>
      </c>
      <c r="J103" s="32">
        <f t="shared" si="24"/>
        <v>1.57</v>
      </c>
      <c r="K103" s="24" t="s">
        <v>4</v>
      </c>
      <c r="L103" s="163">
        <f t="shared" si="19"/>
        <v>1.49</v>
      </c>
      <c r="M103" s="163">
        <f t="shared" si="22"/>
        <v>13.64</v>
      </c>
      <c r="N103" s="163">
        <f t="shared" si="23"/>
        <v>12.84</v>
      </c>
      <c r="O103" s="163">
        <f t="shared" si="20"/>
        <v>1.57</v>
      </c>
      <c r="P103" s="163">
        <f t="shared" si="21"/>
        <v>29.54</v>
      </c>
      <c r="Q103" s="162"/>
      <c r="R103" s="162"/>
      <c r="S103" s="162"/>
      <c r="T103" s="162"/>
      <c r="U103" s="162"/>
      <c r="V103" s="162"/>
      <c r="W103" s="162"/>
      <c r="X103" s="163"/>
      <c r="Y103" s="163"/>
      <c r="Z103" s="164"/>
      <c r="AA103" s="164"/>
      <c r="AB103" s="29"/>
    </row>
    <row r="104" spans="1:28" x14ac:dyDescent="0.25">
      <c r="A104" s="5">
        <v>7770</v>
      </c>
      <c r="B104" s="24" t="s">
        <v>36</v>
      </c>
      <c r="C104" s="6">
        <v>205</v>
      </c>
      <c r="D104" s="6">
        <v>4954.43</v>
      </c>
      <c r="E104" s="6">
        <v>9181.8700000000008</v>
      </c>
      <c r="F104" s="6">
        <v>0</v>
      </c>
      <c r="G104" s="6">
        <v>7821.33</v>
      </c>
      <c r="H104" s="6">
        <f t="shared" si="25"/>
        <v>7821.33</v>
      </c>
      <c r="I104" s="26">
        <v>0</v>
      </c>
      <c r="J104" s="32">
        <f t="shared" si="24"/>
        <v>7821.33</v>
      </c>
      <c r="K104" s="24" t="s">
        <v>4</v>
      </c>
      <c r="L104" s="163">
        <f t="shared" si="19"/>
        <v>205</v>
      </c>
      <c r="M104" s="163">
        <f t="shared" si="22"/>
        <v>4954.43</v>
      </c>
      <c r="N104" s="163">
        <f t="shared" si="23"/>
        <v>9181.8700000000008</v>
      </c>
      <c r="O104" s="163">
        <f t="shared" si="20"/>
        <v>7821.33</v>
      </c>
      <c r="P104" s="163">
        <f t="shared" si="21"/>
        <v>22162.63</v>
      </c>
      <c r="Q104" s="162"/>
      <c r="R104" s="162"/>
      <c r="S104" s="162"/>
      <c r="T104" s="162"/>
      <c r="U104" s="162"/>
      <c r="V104" s="162"/>
      <c r="W104" s="162"/>
      <c r="X104" s="163"/>
      <c r="Y104" s="163"/>
      <c r="Z104" s="164"/>
      <c r="AA104" s="164"/>
      <c r="AB104" s="29"/>
    </row>
    <row r="105" spans="1:28" x14ac:dyDescent="0.25">
      <c r="A105" s="5">
        <v>7772</v>
      </c>
      <c r="B105" s="24" t="s">
        <v>123</v>
      </c>
      <c r="C105" s="6">
        <v>0</v>
      </c>
      <c r="D105" s="6">
        <v>10791.87</v>
      </c>
      <c r="E105" s="6">
        <v>30191.94</v>
      </c>
      <c r="F105" s="6">
        <v>0</v>
      </c>
      <c r="G105" s="6">
        <v>31737.5</v>
      </c>
      <c r="H105" s="6">
        <f t="shared" si="25"/>
        <v>31737.5</v>
      </c>
      <c r="I105" s="26">
        <v>0</v>
      </c>
      <c r="J105" s="32">
        <f t="shared" si="24"/>
        <v>31737.5</v>
      </c>
      <c r="K105" s="24" t="s">
        <v>4</v>
      </c>
      <c r="L105" s="163">
        <f t="shared" si="19"/>
        <v>0</v>
      </c>
      <c r="M105" s="163">
        <f t="shared" si="22"/>
        <v>10791.87</v>
      </c>
      <c r="N105" s="163">
        <f t="shared" si="23"/>
        <v>30191.94</v>
      </c>
      <c r="O105" s="163">
        <f t="shared" si="20"/>
        <v>31737.5</v>
      </c>
      <c r="P105" s="163">
        <f t="shared" si="21"/>
        <v>72721.31</v>
      </c>
      <c r="Q105" s="162"/>
      <c r="R105" s="162"/>
      <c r="S105" s="162"/>
      <c r="T105" s="162"/>
      <c r="U105" s="162"/>
      <c r="V105" s="162"/>
      <c r="W105" s="162"/>
      <c r="X105" s="163"/>
      <c r="Y105" s="163"/>
      <c r="Z105" s="164"/>
      <c r="AA105" s="164"/>
      <c r="AB105" s="29"/>
    </row>
    <row r="106" spans="1:28" x14ac:dyDescent="0.25">
      <c r="A106" s="5">
        <v>7798</v>
      </c>
      <c r="B106" s="24" t="s">
        <v>37</v>
      </c>
      <c r="C106" s="6">
        <v>0</v>
      </c>
      <c r="D106" s="6">
        <v>1651.73</v>
      </c>
      <c r="E106" s="6">
        <v>348.36</v>
      </c>
      <c r="F106" s="6">
        <v>0</v>
      </c>
      <c r="G106" s="6">
        <v>25.3</v>
      </c>
      <c r="H106" s="6">
        <f t="shared" si="25"/>
        <v>25.3</v>
      </c>
      <c r="I106" s="26">
        <v>0</v>
      </c>
      <c r="J106" s="32">
        <f t="shared" si="24"/>
        <v>25.3</v>
      </c>
      <c r="K106" s="24" t="s">
        <v>4</v>
      </c>
      <c r="L106" s="163">
        <f t="shared" si="19"/>
        <v>0</v>
      </c>
      <c r="M106" s="163">
        <f t="shared" si="22"/>
        <v>1651.73</v>
      </c>
      <c r="N106" s="163">
        <f t="shared" si="23"/>
        <v>348.36</v>
      </c>
      <c r="O106" s="163">
        <f t="shared" si="20"/>
        <v>25.3</v>
      </c>
      <c r="P106" s="163">
        <f t="shared" si="21"/>
        <v>2025.39</v>
      </c>
      <c r="Q106" s="162"/>
      <c r="R106" s="162"/>
      <c r="S106" s="162"/>
      <c r="T106" s="162"/>
      <c r="U106" s="162"/>
      <c r="V106" s="162"/>
      <c r="W106" s="162"/>
      <c r="X106" s="163"/>
      <c r="Y106" s="163"/>
      <c r="Z106" s="164"/>
      <c r="AA106" s="164"/>
      <c r="AB106" s="29"/>
    </row>
    <row r="107" spans="1:28" x14ac:dyDescent="0.25">
      <c r="A107" s="5">
        <v>7831</v>
      </c>
      <c r="B107" s="24" t="s">
        <v>125</v>
      </c>
      <c r="C107" s="6">
        <v>0</v>
      </c>
      <c r="D107" s="6">
        <v>20464.5</v>
      </c>
      <c r="E107" s="6">
        <v>0</v>
      </c>
      <c r="F107" s="6">
        <v>0</v>
      </c>
      <c r="G107" s="6">
        <v>3389.02</v>
      </c>
      <c r="H107" s="6">
        <f t="shared" si="25"/>
        <v>3389.02</v>
      </c>
      <c r="I107" s="26">
        <v>0</v>
      </c>
      <c r="J107" s="32">
        <f t="shared" si="24"/>
        <v>3389.02</v>
      </c>
      <c r="K107" s="24" t="s">
        <v>4</v>
      </c>
      <c r="L107" s="163">
        <f t="shared" si="19"/>
        <v>0</v>
      </c>
      <c r="M107" s="163">
        <f t="shared" si="22"/>
        <v>20464.5</v>
      </c>
      <c r="N107" s="163">
        <f t="shared" si="23"/>
        <v>0</v>
      </c>
      <c r="O107" s="163">
        <f t="shared" si="20"/>
        <v>3389.02</v>
      </c>
      <c r="P107" s="163">
        <f t="shared" si="21"/>
        <v>23853.52</v>
      </c>
      <c r="Q107" s="162"/>
      <c r="R107" s="162"/>
      <c r="S107" s="162"/>
      <c r="T107" s="162"/>
      <c r="U107" s="162"/>
      <c r="V107" s="162"/>
      <c r="W107" s="162"/>
      <c r="X107" s="163"/>
      <c r="Y107" s="163"/>
      <c r="Z107" s="164"/>
      <c r="AA107" s="164"/>
      <c r="AB107" s="29"/>
    </row>
    <row r="108" spans="1:28" x14ac:dyDescent="0.25">
      <c r="A108" s="43">
        <v>7832</v>
      </c>
      <c r="B108" s="44" t="s">
        <v>153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f t="shared" si="25"/>
        <v>0</v>
      </c>
      <c r="I108" s="26">
        <v>50000</v>
      </c>
      <c r="J108" s="32">
        <f t="shared" si="24"/>
        <v>50000</v>
      </c>
      <c r="K108" s="24"/>
      <c r="L108" s="163">
        <f t="shared" si="19"/>
        <v>0</v>
      </c>
      <c r="M108" s="163">
        <f t="shared" si="22"/>
        <v>0</v>
      </c>
      <c r="N108" s="163">
        <f t="shared" si="23"/>
        <v>0</v>
      </c>
      <c r="O108" s="163">
        <f t="shared" si="20"/>
        <v>50000</v>
      </c>
      <c r="P108" s="163">
        <f t="shared" si="21"/>
        <v>50000</v>
      </c>
      <c r="Q108" s="162"/>
      <c r="R108" s="162"/>
      <c r="S108" s="162"/>
      <c r="T108" s="162"/>
      <c r="U108" s="162"/>
      <c r="V108" s="162"/>
      <c r="W108" s="162"/>
      <c r="X108" s="163"/>
      <c r="Y108" s="163"/>
      <c r="Z108" s="164"/>
      <c r="AA108" s="164"/>
      <c r="AB108" s="166" t="s">
        <v>154</v>
      </c>
    </row>
    <row r="109" spans="1:28" x14ac:dyDescent="0.25">
      <c r="A109" s="5">
        <v>8051</v>
      </c>
      <c r="B109" s="24" t="s">
        <v>132</v>
      </c>
      <c r="C109" s="6">
        <v>0</v>
      </c>
      <c r="D109" s="6">
        <v>0</v>
      </c>
      <c r="E109" s="6">
        <v>0</v>
      </c>
      <c r="F109" s="6">
        <v>0</v>
      </c>
      <c r="G109" s="6">
        <v>-130</v>
      </c>
      <c r="H109" s="6">
        <f t="shared" si="25"/>
        <v>-130</v>
      </c>
      <c r="I109" s="26">
        <v>0</v>
      </c>
      <c r="J109" s="32">
        <f t="shared" si="24"/>
        <v>-130</v>
      </c>
      <c r="K109" s="24" t="s">
        <v>4</v>
      </c>
      <c r="L109" s="163">
        <f t="shared" si="19"/>
        <v>0</v>
      </c>
      <c r="M109" s="163">
        <f t="shared" si="22"/>
        <v>0</v>
      </c>
      <c r="N109" s="163">
        <f t="shared" si="23"/>
        <v>0</v>
      </c>
      <c r="O109" s="163">
        <f t="shared" si="20"/>
        <v>-130</v>
      </c>
      <c r="P109" s="163">
        <f t="shared" si="21"/>
        <v>-130</v>
      </c>
      <c r="Q109" s="162"/>
      <c r="R109" s="162"/>
      <c r="S109" s="162"/>
      <c r="T109" s="162"/>
      <c r="U109" s="162"/>
      <c r="V109" s="162"/>
      <c r="W109" s="162"/>
      <c r="X109" s="163"/>
      <c r="Y109" s="163"/>
      <c r="Z109" s="164"/>
      <c r="AA109" s="164"/>
      <c r="AB109" s="29"/>
    </row>
    <row r="110" spans="1:28" x14ac:dyDescent="0.25">
      <c r="A110" s="5">
        <v>8060</v>
      </c>
      <c r="B110" s="24" t="s">
        <v>39</v>
      </c>
      <c r="C110" s="6">
        <v>0</v>
      </c>
      <c r="D110" s="6">
        <v>0</v>
      </c>
      <c r="E110" s="6">
        <v>16.78</v>
      </c>
      <c r="F110" s="6">
        <v>0</v>
      </c>
      <c r="G110" s="6">
        <v>-50544.6</v>
      </c>
      <c r="H110" s="6">
        <f t="shared" si="25"/>
        <v>-50544.6</v>
      </c>
      <c r="I110" s="26">
        <v>0</v>
      </c>
      <c r="J110" s="32">
        <f t="shared" si="24"/>
        <v>-50544.6</v>
      </c>
      <c r="K110" s="24" t="s">
        <v>4</v>
      </c>
      <c r="L110" s="163">
        <f t="shared" si="19"/>
        <v>0</v>
      </c>
      <c r="M110" s="163">
        <f t="shared" si="22"/>
        <v>0</v>
      </c>
      <c r="N110" s="163">
        <f t="shared" si="23"/>
        <v>16.78</v>
      </c>
      <c r="O110" s="163">
        <f t="shared" si="20"/>
        <v>-50544.6</v>
      </c>
      <c r="P110" s="163">
        <f t="shared" si="21"/>
        <v>-50527.82</v>
      </c>
      <c r="Q110" s="162"/>
      <c r="R110" s="162"/>
      <c r="S110" s="162"/>
      <c r="T110" s="162"/>
      <c r="U110" s="162"/>
      <c r="V110" s="162"/>
      <c r="W110" s="162"/>
      <c r="X110" s="163"/>
      <c r="Y110" s="163"/>
      <c r="Z110" s="164"/>
      <c r="AA110" s="164"/>
      <c r="AB110" s="29"/>
    </row>
    <row r="111" spans="1:28" x14ac:dyDescent="0.25">
      <c r="A111" s="5">
        <v>8140</v>
      </c>
      <c r="B111" s="24" t="s">
        <v>133</v>
      </c>
      <c r="C111" s="6">
        <v>0</v>
      </c>
      <c r="D111" s="6">
        <v>0</v>
      </c>
      <c r="E111" s="6">
        <v>0</v>
      </c>
      <c r="F111" s="6">
        <v>0</v>
      </c>
      <c r="G111" s="6">
        <v>13212</v>
      </c>
      <c r="H111" s="6">
        <f t="shared" si="25"/>
        <v>13212</v>
      </c>
      <c r="I111" s="26">
        <v>0</v>
      </c>
      <c r="J111" s="32">
        <f t="shared" si="24"/>
        <v>13212</v>
      </c>
      <c r="K111" s="24" t="s">
        <v>4</v>
      </c>
      <c r="L111" s="163">
        <f t="shared" si="19"/>
        <v>0</v>
      </c>
      <c r="M111" s="163">
        <f t="shared" si="22"/>
        <v>0</v>
      </c>
      <c r="N111" s="163">
        <f t="shared" si="23"/>
        <v>0</v>
      </c>
      <c r="O111" s="163">
        <f t="shared" si="20"/>
        <v>13212</v>
      </c>
      <c r="P111" s="163">
        <f t="shared" si="21"/>
        <v>13212</v>
      </c>
      <c r="Q111" s="162"/>
      <c r="R111" s="162"/>
      <c r="S111" s="162"/>
      <c r="T111" s="162"/>
      <c r="U111" s="162"/>
      <c r="V111" s="162"/>
      <c r="W111" s="162"/>
      <c r="X111" s="163"/>
      <c r="Y111" s="163"/>
      <c r="Z111" s="164"/>
      <c r="AA111" s="164"/>
      <c r="AB111" s="29"/>
    </row>
    <row r="112" spans="1:28" x14ac:dyDescent="0.25">
      <c r="A112" s="5">
        <v>8154</v>
      </c>
      <c r="B112" s="5" t="s">
        <v>126</v>
      </c>
      <c r="C112" s="6">
        <v>0</v>
      </c>
      <c r="D112" s="6">
        <v>16</v>
      </c>
      <c r="E112" s="6">
        <v>0</v>
      </c>
      <c r="F112" s="6">
        <v>0</v>
      </c>
      <c r="G112" s="6">
        <v>0</v>
      </c>
      <c r="H112" s="6">
        <f t="shared" si="25"/>
        <v>0</v>
      </c>
      <c r="I112" s="26">
        <v>0</v>
      </c>
      <c r="J112" s="32">
        <f t="shared" si="24"/>
        <v>0</v>
      </c>
      <c r="K112" s="24"/>
      <c r="L112" s="163">
        <f t="shared" si="19"/>
        <v>0</v>
      </c>
      <c r="M112" s="163">
        <f t="shared" si="22"/>
        <v>16</v>
      </c>
      <c r="N112" s="163">
        <f t="shared" si="23"/>
        <v>0</v>
      </c>
      <c r="O112" s="163">
        <f t="shared" si="20"/>
        <v>0</v>
      </c>
      <c r="P112" s="163">
        <f t="shared" si="21"/>
        <v>16</v>
      </c>
      <c r="Q112" s="162"/>
      <c r="R112" s="162"/>
      <c r="S112" s="162"/>
      <c r="T112" s="162"/>
      <c r="U112" s="162"/>
      <c r="V112" s="162"/>
      <c r="W112" s="162"/>
      <c r="X112" s="163"/>
      <c r="Y112" s="163"/>
      <c r="Z112" s="164"/>
      <c r="AA112" s="164"/>
      <c r="AB112" s="29"/>
    </row>
    <row r="113" spans="1:28" x14ac:dyDescent="0.25">
      <c r="A113" s="5">
        <v>8155</v>
      </c>
      <c r="B113" s="24" t="s">
        <v>127</v>
      </c>
      <c r="C113" s="6">
        <v>0</v>
      </c>
      <c r="D113" s="6">
        <v>1188.83</v>
      </c>
      <c r="E113" s="6">
        <v>480</v>
      </c>
      <c r="F113" s="6">
        <v>0</v>
      </c>
      <c r="G113" s="6">
        <v>87</v>
      </c>
      <c r="H113" s="6">
        <f t="shared" si="25"/>
        <v>87</v>
      </c>
      <c r="I113" s="26">
        <v>0</v>
      </c>
      <c r="J113" s="32">
        <f t="shared" si="24"/>
        <v>87</v>
      </c>
      <c r="K113" s="24" t="s">
        <v>4</v>
      </c>
      <c r="L113" s="163">
        <f t="shared" si="19"/>
        <v>0</v>
      </c>
      <c r="M113" s="163">
        <f t="shared" si="22"/>
        <v>1188.83</v>
      </c>
      <c r="N113" s="163">
        <f t="shared" si="23"/>
        <v>480</v>
      </c>
      <c r="O113" s="163">
        <f t="shared" si="20"/>
        <v>87</v>
      </c>
      <c r="P113" s="163">
        <f t="shared" si="21"/>
        <v>1755.83</v>
      </c>
      <c r="Q113" s="162"/>
      <c r="R113" s="162"/>
      <c r="S113" s="162"/>
      <c r="T113" s="162"/>
      <c r="U113" s="162"/>
      <c r="V113" s="162"/>
      <c r="W113" s="162"/>
      <c r="X113" s="163"/>
      <c r="Y113" s="163"/>
      <c r="Z113" s="164"/>
      <c r="AA113" s="164"/>
      <c r="AB113" s="29"/>
    </row>
    <row r="114" spans="1:28" x14ac:dyDescent="0.25">
      <c r="A114" s="5">
        <v>8159</v>
      </c>
      <c r="B114" s="24" t="s">
        <v>134</v>
      </c>
      <c r="C114" s="6">
        <v>0</v>
      </c>
      <c r="D114" s="6">
        <v>0</v>
      </c>
      <c r="E114" s="6">
        <v>0</v>
      </c>
      <c r="F114" s="6">
        <v>0</v>
      </c>
      <c r="G114" s="6">
        <v>130998.23</v>
      </c>
      <c r="H114" s="6">
        <f t="shared" si="25"/>
        <v>130998.23</v>
      </c>
      <c r="I114" s="26">
        <v>0</v>
      </c>
      <c r="J114" s="32">
        <f t="shared" si="24"/>
        <v>130998.23</v>
      </c>
      <c r="K114" s="24" t="s">
        <v>4</v>
      </c>
      <c r="L114" s="163">
        <f t="shared" ref="L114:L116" si="26">C114</f>
        <v>0</v>
      </c>
      <c r="M114" s="163">
        <f t="shared" si="22"/>
        <v>0</v>
      </c>
      <c r="N114" s="163">
        <f t="shared" si="23"/>
        <v>0</v>
      </c>
      <c r="O114" s="163">
        <f t="shared" ref="O114:O116" si="27">J114</f>
        <v>130998.23</v>
      </c>
      <c r="P114" s="163">
        <f t="shared" ref="P114:P116" si="28">SUM(L114:O114)</f>
        <v>130998.23</v>
      </c>
      <c r="Q114" s="162"/>
      <c r="R114" s="162"/>
      <c r="S114" s="162"/>
      <c r="T114" s="162"/>
      <c r="U114" s="162"/>
      <c r="V114" s="162"/>
      <c r="W114" s="162"/>
      <c r="X114" s="163"/>
      <c r="Y114" s="163"/>
      <c r="Z114" s="164"/>
      <c r="AA114" s="164"/>
      <c r="AB114" s="29"/>
    </row>
    <row r="115" spans="1:28" x14ac:dyDescent="0.25">
      <c r="A115" s="5">
        <v>8160</v>
      </c>
      <c r="B115" s="24" t="s">
        <v>40</v>
      </c>
      <c r="C115" s="6">
        <v>0</v>
      </c>
      <c r="D115" s="6">
        <v>673.83</v>
      </c>
      <c r="E115" s="6">
        <v>6921.62</v>
      </c>
      <c r="F115" s="6">
        <v>0</v>
      </c>
      <c r="G115" s="6">
        <v>19903.41</v>
      </c>
      <c r="H115" s="6">
        <f t="shared" si="25"/>
        <v>19903.41</v>
      </c>
      <c r="I115" s="26">
        <v>0</v>
      </c>
      <c r="J115" s="32">
        <f t="shared" si="24"/>
        <v>19903.41</v>
      </c>
      <c r="K115" s="24" t="s">
        <v>4</v>
      </c>
      <c r="L115" s="163">
        <f t="shared" si="26"/>
        <v>0</v>
      </c>
      <c r="M115" s="163">
        <f t="shared" si="22"/>
        <v>673.83</v>
      </c>
      <c r="N115" s="163">
        <f t="shared" si="23"/>
        <v>6921.62</v>
      </c>
      <c r="O115" s="163">
        <f t="shared" si="27"/>
        <v>19903.41</v>
      </c>
      <c r="P115" s="163">
        <f t="shared" si="28"/>
        <v>27498.86</v>
      </c>
      <c r="Q115" s="162"/>
      <c r="R115" s="162"/>
      <c r="S115" s="162"/>
      <c r="T115" s="162"/>
      <c r="U115" s="162"/>
      <c r="V115" s="162"/>
      <c r="W115" s="162"/>
      <c r="X115" s="163"/>
      <c r="Y115" s="163"/>
      <c r="Z115" s="164"/>
      <c r="AA115" s="164"/>
      <c r="AB115" s="29"/>
    </row>
    <row r="116" spans="1:28" x14ac:dyDescent="0.25">
      <c r="A116" s="43">
        <v>8300</v>
      </c>
      <c r="B116" s="44" t="s">
        <v>83</v>
      </c>
      <c r="C116" s="6">
        <v>0</v>
      </c>
      <c r="D116" s="6">
        <v>0</v>
      </c>
      <c r="E116" s="6">
        <v>3105</v>
      </c>
      <c r="F116" s="6">
        <v>0</v>
      </c>
      <c r="G116" s="6">
        <v>0</v>
      </c>
      <c r="H116" s="6">
        <f t="shared" si="25"/>
        <v>0</v>
      </c>
      <c r="I116" s="26">
        <f>257768*22%</f>
        <v>56708.959999999999</v>
      </c>
      <c r="J116" s="32">
        <f t="shared" si="24"/>
        <v>56708.959999999999</v>
      </c>
      <c r="K116" s="24"/>
      <c r="L116" s="163">
        <f t="shared" si="26"/>
        <v>0</v>
      </c>
      <c r="M116" s="163">
        <f t="shared" si="22"/>
        <v>0</v>
      </c>
      <c r="N116" s="163">
        <f t="shared" si="23"/>
        <v>3105</v>
      </c>
      <c r="O116" s="163">
        <f t="shared" si="27"/>
        <v>56708.959999999999</v>
      </c>
      <c r="P116" s="163">
        <f t="shared" si="28"/>
        <v>59813.96</v>
      </c>
      <c r="Q116" s="162"/>
      <c r="R116" s="162"/>
      <c r="S116" s="162"/>
      <c r="T116" s="162"/>
      <c r="U116" s="162"/>
      <c r="V116" s="162"/>
      <c r="W116" s="162"/>
      <c r="X116" s="163"/>
      <c r="Y116" s="163"/>
      <c r="Z116" s="164"/>
      <c r="AA116" s="164"/>
      <c r="AB116" s="166" t="s">
        <v>156</v>
      </c>
    </row>
    <row r="117" spans="1:28" x14ac:dyDescent="0.25">
      <c r="A117" s="43">
        <v>8961</v>
      </c>
      <c r="B117" s="44" t="s">
        <v>143</v>
      </c>
      <c r="C117" s="6">
        <v>0</v>
      </c>
      <c r="D117" s="6">
        <v>0</v>
      </c>
      <c r="E117" s="6">
        <v>74123.08</v>
      </c>
      <c r="F117" s="6">
        <v>0</v>
      </c>
      <c r="G117" s="6">
        <v>0</v>
      </c>
      <c r="H117" s="6">
        <f t="shared" si="25"/>
        <v>0</v>
      </c>
      <c r="I117" s="26">
        <f>O9</f>
        <v>201059.02000000019</v>
      </c>
      <c r="J117" s="32">
        <f t="shared" si="24"/>
        <v>201059.02000000019</v>
      </c>
      <c r="K117" s="24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5"/>
      <c r="AA117" s="165"/>
      <c r="AB117" s="167" t="s">
        <v>158</v>
      </c>
    </row>
    <row r="118" spans="1:28" x14ac:dyDescent="0.25">
      <c r="A118" s="5">
        <v>8990</v>
      </c>
      <c r="B118" s="5" t="s">
        <v>42</v>
      </c>
      <c r="C118" s="6">
        <v>-30196.03</v>
      </c>
      <c r="D118" s="6">
        <v>-27393.34</v>
      </c>
      <c r="E118" s="6">
        <v>0</v>
      </c>
      <c r="F118" s="6">
        <v>0</v>
      </c>
      <c r="G118" s="6">
        <v>0</v>
      </c>
      <c r="H118" s="6">
        <f t="shared" si="25"/>
        <v>0</v>
      </c>
      <c r="I118" s="26">
        <v>0</v>
      </c>
      <c r="J118" s="32">
        <f t="shared" si="24"/>
        <v>0</v>
      </c>
      <c r="K118" s="7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5"/>
      <c r="AA118" s="165"/>
      <c r="AB118" s="27"/>
    </row>
  </sheetData>
  <autoFilter ref="A10:AB118" xr:uid="{DF1A0FA1-65CC-43B3-9036-6452D8562581}"/>
  <mergeCells count="7">
    <mergeCell ref="I1:K1"/>
    <mergeCell ref="I6:K6"/>
    <mergeCell ref="I7:K7"/>
    <mergeCell ref="I2:K2"/>
    <mergeCell ref="I3:K3"/>
    <mergeCell ref="I4:K4"/>
    <mergeCell ref="I5:K5"/>
  </mergeCells>
  <conditionalFormatting sqref="L9:AA9">
    <cfRule type="cellIs" dxfId="156" priority="1" operator="greaterThan">
      <formula>0</formula>
    </cfRule>
    <cfRule type="cellIs" dxfId="155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X51"/>
  <sheetViews>
    <sheetView workbookViewId="0">
      <selection activeCell="N21" sqref="N21"/>
    </sheetView>
  </sheetViews>
  <sheetFormatPr baseColWidth="10" defaultColWidth="9.140625" defaultRowHeight="15" x14ac:dyDescent="0.25"/>
  <cols>
    <col min="1" max="1" width="9.7109375" style="1" bestFit="1" customWidth="1"/>
    <col min="2" max="2" width="55.28515625" bestFit="1" customWidth="1"/>
    <col min="3" max="3" width="16.7109375" bestFit="1" customWidth="1"/>
    <col min="4" max="4" width="13.42578125" bestFit="1" customWidth="1"/>
    <col min="5" max="5" width="17.85546875" bestFit="1" customWidth="1"/>
    <col min="6" max="6" width="17" bestFit="1" customWidth="1"/>
    <col min="7" max="7" width="18.42578125" customWidth="1"/>
    <col min="8" max="8" width="14.42578125" bestFit="1" customWidth="1"/>
    <col min="9" max="9" width="14.28515625" bestFit="1" customWidth="1"/>
    <col min="10" max="10" width="16.42578125" bestFit="1" customWidth="1"/>
    <col min="11" max="11" width="16.85546875" bestFit="1" customWidth="1"/>
    <col min="12" max="12" width="20.42578125" bestFit="1" customWidth="1"/>
    <col min="13" max="13" width="17.42578125" bestFit="1" customWidth="1"/>
    <col min="14" max="14" width="14.5703125" customWidth="1"/>
    <col min="15" max="15" width="14.85546875" bestFit="1" customWidth="1"/>
    <col min="16" max="16" width="14.7109375" bestFit="1" customWidth="1"/>
    <col min="17" max="17" width="20.140625" bestFit="1" customWidth="1"/>
    <col min="18" max="18" width="15.140625" bestFit="1" customWidth="1"/>
    <col min="19" max="19" width="17.28515625" bestFit="1" customWidth="1"/>
    <col min="20" max="20" width="19.28515625" bestFit="1" customWidth="1"/>
    <col min="21" max="21" width="17.140625" bestFit="1" customWidth="1"/>
    <col min="22" max="22" width="20.85546875" bestFit="1" customWidth="1"/>
    <col min="23" max="23" width="22.140625" bestFit="1" customWidth="1"/>
    <col min="24" max="24" width="45" customWidth="1"/>
  </cols>
  <sheetData>
    <row r="1" spans="1:24" ht="19.5" thickBot="1" x14ac:dyDescent="0.35">
      <c r="B1" s="68">
        <f>'NØKKELTALL OVERORDNET AVTALE '!A2</f>
        <v>46031</v>
      </c>
    </row>
    <row r="2" spans="1:24" ht="15.75" thickBot="1" x14ac:dyDescent="0.3">
      <c r="G2" s="194" t="s">
        <v>174</v>
      </c>
      <c r="H2" s="195"/>
      <c r="I2" s="195"/>
      <c r="J2" s="39" t="s">
        <v>64</v>
      </c>
      <c r="K2" s="39" t="s">
        <v>46</v>
      </c>
      <c r="L2" s="40" t="s">
        <v>65</v>
      </c>
    </row>
    <row r="3" spans="1:24" x14ac:dyDescent="0.25">
      <c r="G3" s="196" t="s">
        <v>168</v>
      </c>
      <c r="H3" s="197"/>
      <c r="I3" s="197"/>
      <c r="J3" s="59">
        <f>-SUM(J27:J28)</f>
        <v>96973.39</v>
      </c>
      <c r="K3" s="59">
        <f t="shared" ref="K3:L3" si="0">-SUM(K27:K28)</f>
        <v>613516.26</v>
      </c>
      <c r="L3" s="61">
        <f t="shared" si="0"/>
        <v>710489.65</v>
      </c>
    </row>
    <row r="4" spans="1:24" x14ac:dyDescent="0.25">
      <c r="G4" s="169" t="s">
        <v>169</v>
      </c>
      <c r="H4" s="170"/>
      <c r="I4" s="170"/>
      <c r="J4" s="55">
        <f>-SUM(J29:J35)</f>
        <v>-212215.97</v>
      </c>
      <c r="K4" s="55">
        <f t="shared" ref="K4:L4" si="1">-SUM(K29:K35)</f>
        <v>-475425.99999999994</v>
      </c>
      <c r="L4" s="56">
        <f t="shared" si="1"/>
        <v>-687641.97000000009</v>
      </c>
    </row>
    <row r="5" spans="1:24" x14ac:dyDescent="0.25">
      <c r="G5" s="186" t="s">
        <v>170</v>
      </c>
      <c r="H5" s="187"/>
      <c r="I5" s="187"/>
      <c r="J5" s="57">
        <f>J3+J4</f>
        <v>-115242.58</v>
      </c>
      <c r="K5" s="57">
        <f t="shared" ref="K5:L5" si="2">K3+K4</f>
        <v>138090.26000000007</v>
      </c>
      <c r="L5" s="58">
        <f t="shared" si="2"/>
        <v>22847.679999999935</v>
      </c>
    </row>
    <row r="6" spans="1:24" x14ac:dyDescent="0.25">
      <c r="G6" s="169" t="s">
        <v>171</v>
      </c>
      <c r="H6" s="170"/>
      <c r="I6" s="170"/>
      <c r="J6" s="53">
        <f>J5/J3</f>
        <v>-1.1883938470130826</v>
      </c>
      <c r="K6" s="53">
        <f t="shared" ref="K6:L6" si="3">K5/K3</f>
        <v>0.22508003292365888</v>
      </c>
      <c r="L6" s="54">
        <f t="shared" si="3"/>
        <v>3.2157653528098448E-2</v>
      </c>
    </row>
    <row r="7" spans="1:24" x14ac:dyDescent="0.25">
      <c r="G7" s="190" t="s">
        <v>172</v>
      </c>
      <c r="H7" s="191"/>
      <c r="I7" s="191"/>
      <c r="J7" s="55">
        <f>SUM(J36:J48)</f>
        <v>151287.26</v>
      </c>
      <c r="K7" s="55">
        <f t="shared" ref="K7:L7" si="4">SUM(K36:K48)</f>
        <v>239883.18</v>
      </c>
      <c r="L7" s="56">
        <f t="shared" si="4"/>
        <v>391170.44</v>
      </c>
    </row>
    <row r="8" spans="1:24" ht="15.75" thickBot="1" x14ac:dyDescent="0.3">
      <c r="G8" s="192" t="s">
        <v>173</v>
      </c>
      <c r="H8" s="193"/>
      <c r="I8" s="193"/>
      <c r="J8" s="51">
        <f>J7/J3</f>
        <v>1.5600904536801283</v>
      </c>
      <c r="K8" s="51">
        <f t="shared" ref="K8:L8" si="5">K7/K3</f>
        <v>0.39099726550034714</v>
      </c>
      <c r="L8" s="52">
        <f t="shared" si="5"/>
        <v>0.55056458598657976</v>
      </c>
    </row>
    <row r="9" spans="1:24" ht="15.75" thickBot="1" x14ac:dyDescent="0.3"/>
    <row r="10" spans="1:24" ht="15.75" thickBot="1" x14ac:dyDescent="0.3">
      <c r="A10" s="17"/>
      <c r="B10" s="21" t="s">
        <v>60</v>
      </c>
      <c r="C10" s="20">
        <f>-SUBTOTAL(9,C12:C401)</f>
        <v>0</v>
      </c>
      <c r="D10" s="18">
        <f t="shared" ref="D10:S10" si="6">-SUBTOTAL(9,D12:D401)</f>
        <v>0</v>
      </c>
      <c r="E10" s="18">
        <f t="shared" si="6"/>
        <v>4.5474735088646412E-13</v>
      </c>
      <c r="F10" s="18">
        <f t="shared" si="6"/>
        <v>4.5474735088646412E-13</v>
      </c>
      <c r="G10" s="18">
        <f t="shared" si="6"/>
        <v>0</v>
      </c>
      <c r="H10" s="18">
        <f t="shared" si="6"/>
        <v>0</v>
      </c>
      <c r="I10" s="18">
        <f t="shared" si="6"/>
        <v>0</v>
      </c>
      <c r="J10" s="18">
        <f t="shared" si="6"/>
        <v>-266860.45999999996</v>
      </c>
      <c r="K10" s="18">
        <f t="shared" si="6"/>
        <v>-105572.31999999999</v>
      </c>
      <c r="L10" s="18">
        <f t="shared" si="6"/>
        <v>-372432.78</v>
      </c>
      <c r="M10" s="18">
        <f>SUBTOTAL(9,M12:M401)</f>
        <v>366362.42</v>
      </c>
      <c r="N10" s="18">
        <f t="shared" si="6"/>
        <v>69783.219999999972</v>
      </c>
      <c r="O10" s="18">
        <f>SUBTOTAL(9,O12:O401)</f>
        <v>-296579.20000000001</v>
      </c>
      <c r="P10" s="18">
        <f t="shared" si="6"/>
        <v>448000</v>
      </c>
      <c r="Q10" s="18">
        <f t="shared" si="6"/>
        <v>-372432.78</v>
      </c>
      <c r="R10" s="18">
        <f t="shared" si="6"/>
        <v>50000</v>
      </c>
      <c r="S10" s="18">
        <f t="shared" si="6"/>
        <v>498000</v>
      </c>
      <c r="T10" s="18">
        <f>SUBTOTAL(9,T12:T401)</f>
        <v>-194616</v>
      </c>
      <c r="U10" s="19">
        <f>SUBTOTAL(9,U12:U401)</f>
        <v>69783.219999999972</v>
      </c>
      <c r="V10" s="19">
        <f t="shared" ref="V10:W10" si="7">SUBTOTAL(9,V12:V401)</f>
        <v>-10713.630000000012</v>
      </c>
      <c r="W10" s="19">
        <f t="shared" si="7"/>
        <v>314399.21999999991</v>
      </c>
    </row>
    <row r="11" spans="1:24" x14ac:dyDescent="0.25">
      <c r="A11" s="11" t="s">
        <v>0</v>
      </c>
      <c r="B11" s="12" t="s">
        <v>1</v>
      </c>
      <c r="C11" s="13" t="s">
        <v>53</v>
      </c>
      <c r="D11" s="13" t="s">
        <v>54</v>
      </c>
      <c r="E11" s="13" t="s">
        <v>43</v>
      </c>
      <c r="F11" s="13" t="s">
        <v>55</v>
      </c>
      <c r="G11" s="14" t="s">
        <v>44</v>
      </c>
      <c r="H11" s="13" t="s">
        <v>45</v>
      </c>
      <c r="I11" s="15" t="s">
        <v>2</v>
      </c>
      <c r="J11" s="16" t="s">
        <v>64</v>
      </c>
      <c r="K11" s="16" t="s">
        <v>46</v>
      </c>
      <c r="L11" s="16" t="s">
        <v>65</v>
      </c>
      <c r="M11" s="16" t="s">
        <v>47</v>
      </c>
      <c r="N11" s="16" t="s">
        <v>48</v>
      </c>
      <c r="O11" s="16" t="s">
        <v>49</v>
      </c>
      <c r="P11" s="16" t="s">
        <v>50</v>
      </c>
      <c r="Q11" s="16" t="s">
        <v>59</v>
      </c>
      <c r="R11" s="16" t="s">
        <v>51</v>
      </c>
      <c r="S11" s="16" t="s">
        <v>52</v>
      </c>
      <c r="T11" s="16" t="s">
        <v>57</v>
      </c>
      <c r="U11" s="16" t="s">
        <v>58</v>
      </c>
      <c r="V11" s="16" t="s">
        <v>165</v>
      </c>
      <c r="W11" s="16" t="s">
        <v>166</v>
      </c>
      <c r="X11" s="9" t="s">
        <v>56</v>
      </c>
    </row>
    <row r="12" spans="1:24" x14ac:dyDescent="0.25">
      <c r="A12" s="45">
        <v>1461</v>
      </c>
      <c r="B12" s="46" t="s">
        <v>3</v>
      </c>
      <c r="C12" s="10">
        <v>0</v>
      </c>
      <c r="D12" s="10">
        <v>0</v>
      </c>
      <c r="E12" s="10">
        <v>325112.84999999998</v>
      </c>
      <c r="F12" s="10">
        <f>D12+E12</f>
        <v>325112.84999999998</v>
      </c>
      <c r="G12" s="23">
        <v>0</v>
      </c>
      <c r="H12" s="10">
        <f>F12+G12</f>
        <v>325112.84999999998</v>
      </c>
      <c r="I12" s="3" t="s">
        <v>4</v>
      </c>
      <c r="J12" s="3"/>
      <c r="K12" s="6"/>
      <c r="L12" s="6"/>
      <c r="M12" s="6">
        <f>H12</f>
        <v>325112.84999999998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10">
        <v>0</v>
      </c>
      <c r="T12" s="6">
        <v>0</v>
      </c>
      <c r="U12" s="10">
        <f>M12</f>
        <v>325112.84999999998</v>
      </c>
      <c r="V12" s="10">
        <v>0</v>
      </c>
      <c r="W12" s="10">
        <f>U12</f>
        <v>325112.84999999998</v>
      </c>
      <c r="X12" s="168" t="s">
        <v>244</v>
      </c>
    </row>
    <row r="13" spans="1:24" x14ac:dyDescent="0.25">
      <c r="A13" s="45">
        <v>1463</v>
      </c>
      <c r="B13" s="46" t="s">
        <v>163</v>
      </c>
      <c r="C13" s="10">
        <v>0</v>
      </c>
      <c r="D13" s="10">
        <v>0</v>
      </c>
      <c r="E13" s="10">
        <v>0</v>
      </c>
      <c r="F13" s="10">
        <f>D13+E13</f>
        <v>0</v>
      </c>
      <c r="G13" s="23">
        <v>0</v>
      </c>
      <c r="H13" s="10">
        <f t="shared" ref="H13:H51" si="8">F13+G13</f>
        <v>0</v>
      </c>
      <c r="I13" s="3"/>
      <c r="J13" s="3"/>
      <c r="K13" s="6"/>
      <c r="L13" s="6"/>
      <c r="M13" s="6">
        <f>H13</f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10">
        <v>0</v>
      </c>
      <c r="T13" s="6">
        <v>0</v>
      </c>
      <c r="U13" s="10">
        <f>H13</f>
        <v>0</v>
      </c>
      <c r="V13" s="10">
        <v>0</v>
      </c>
      <c r="W13" s="10">
        <f>U13</f>
        <v>0</v>
      </c>
      <c r="X13" s="168" t="s">
        <v>243</v>
      </c>
    </row>
    <row r="14" spans="1:24" x14ac:dyDescent="0.25">
      <c r="A14" s="45">
        <v>1500</v>
      </c>
      <c r="B14" s="46" t="s">
        <v>5</v>
      </c>
      <c r="C14" s="10">
        <v>0</v>
      </c>
      <c r="D14" s="10">
        <v>0</v>
      </c>
      <c r="E14" s="10">
        <v>43023</v>
      </c>
      <c r="F14" s="10">
        <f t="shared" ref="F14:F51" si="9">D14+E14</f>
        <v>43023</v>
      </c>
      <c r="G14" s="23">
        <v>0</v>
      </c>
      <c r="H14" s="10">
        <f t="shared" si="8"/>
        <v>43023</v>
      </c>
      <c r="I14" s="3" t="s">
        <v>4</v>
      </c>
      <c r="J14" s="3"/>
      <c r="K14" s="6"/>
      <c r="L14" s="6"/>
      <c r="M14" s="6">
        <f t="shared" ref="M14:M16" si="10">H14</f>
        <v>43023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10">
        <v>0</v>
      </c>
      <c r="T14" s="6">
        <v>43023</v>
      </c>
      <c r="U14" s="10">
        <f t="shared" ref="U14:U15" si="11">M14</f>
        <v>43023</v>
      </c>
      <c r="V14" s="10">
        <v>0</v>
      </c>
      <c r="W14" s="10">
        <v>0</v>
      </c>
      <c r="X14" s="168" t="s">
        <v>164</v>
      </c>
    </row>
    <row r="15" spans="1:24" x14ac:dyDescent="0.25">
      <c r="A15" s="2">
        <v>19201</v>
      </c>
      <c r="B15" s="3" t="s">
        <v>6</v>
      </c>
      <c r="C15" s="10">
        <v>64404.21</v>
      </c>
      <c r="D15" s="10">
        <v>64404.21</v>
      </c>
      <c r="E15" s="10">
        <v>-66177.64</v>
      </c>
      <c r="F15" s="10">
        <f t="shared" si="9"/>
        <v>-1773.4300000000003</v>
      </c>
      <c r="G15" s="23">
        <v>0</v>
      </c>
      <c r="H15" s="10">
        <f t="shared" si="8"/>
        <v>-1773.4300000000003</v>
      </c>
      <c r="I15" s="3" t="s">
        <v>7</v>
      </c>
      <c r="J15" s="3"/>
      <c r="K15" s="6"/>
      <c r="L15" s="6"/>
      <c r="M15" s="6">
        <f t="shared" si="10"/>
        <v>-1773.4300000000003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10">
        <v>0</v>
      </c>
      <c r="T15" s="6">
        <v>0</v>
      </c>
      <c r="U15" s="10">
        <f t="shared" si="11"/>
        <v>-1773.4300000000003</v>
      </c>
      <c r="V15" s="10">
        <f>U15</f>
        <v>-1773.4300000000003</v>
      </c>
      <c r="W15" s="10">
        <f>V15</f>
        <v>-1773.4300000000003</v>
      </c>
      <c r="X15" s="22"/>
    </row>
    <row r="16" spans="1:24" x14ac:dyDescent="0.25">
      <c r="A16" s="2">
        <v>19202</v>
      </c>
      <c r="B16" s="3" t="s">
        <v>8</v>
      </c>
      <c r="C16" s="10">
        <v>5660.33</v>
      </c>
      <c r="D16" s="10">
        <v>5660.33</v>
      </c>
      <c r="E16" s="10">
        <v>-5660.33</v>
      </c>
      <c r="F16" s="10">
        <f t="shared" si="9"/>
        <v>0</v>
      </c>
      <c r="G16" s="23">
        <v>0</v>
      </c>
      <c r="H16" s="10">
        <f t="shared" si="8"/>
        <v>0</v>
      </c>
      <c r="I16" s="3" t="s">
        <v>7</v>
      </c>
      <c r="J16" s="3"/>
      <c r="K16" s="6"/>
      <c r="L16" s="6"/>
      <c r="M16" s="6">
        <f t="shared" si="10"/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10">
        <v>0</v>
      </c>
      <c r="T16" s="6">
        <v>0</v>
      </c>
      <c r="U16" s="10">
        <v>0</v>
      </c>
      <c r="V16" s="10">
        <f t="shared" ref="V16:V26" si="12">U16</f>
        <v>0</v>
      </c>
      <c r="W16" s="10">
        <v>0</v>
      </c>
      <c r="X16" s="22"/>
    </row>
    <row r="17" spans="1:24" x14ac:dyDescent="0.25">
      <c r="A17" s="2">
        <v>2000</v>
      </c>
      <c r="B17" s="3" t="s">
        <v>9</v>
      </c>
      <c r="C17" s="10">
        <v>-30000</v>
      </c>
      <c r="D17" s="10">
        <v>-30000</v>
      </c>
      <c r="E17" s="10">
        <v>0</v>
      </c>
      <c r="F17" s="10">
        <f t="shared" si="9"/>
        <v>-30000</v>
      </c>
      <c r="G17" s="23">
        <v>0</v>
      </c>
      <c r="H17" s="10">
        <f t="shared" si="8"/>
        <v>-30000</v>
      </c>
      <c r="I17" s="3" t="s">
        <v>4</v>
      </c>
      <c r="J17" s="3"/>
      <c r="K17" s="6"/>
      <c r="L17" s="6"/>
      <c r="M17" s="6">
        <v>0</v>
      </c>
      <c r="N17" s="6">
        <f>H17</f>
        <v>-30000</v>
      </c>
      <c r="O17" s="6">
        <v>0</v>
      </c>
      <c r="P17" s="6">
        <f>N17</f>
        <v>-30000</v>
      </c>
      <c r="Q17" s="6">
        <v>0</v>
      </c>
      <c r="R17" s="6">
        <v>0</v>
      </c>
      <c r="S17" s="10">
        <f>P17+R17</f>
        <v>-30000</v>
      </c>
      <c r="T17" s="6">
        <v>0</v>
      </c>
      <c r="U17" s="10">
        <v>0</v>
      </c>
      <c r="V17" s="10">
        <f t="shared" si="12"/>
        <v>0</v>
      </c>
      <c r="W17" s="10">
        <v>0</v>
      </c>
      <c r="X17" s="22"/>
    </row>
    <row r="18" spans="1:24" x14ac:dyDescent="0.25">
      <c r="A18" s="2">
        <v>2020</v>
      </c>
      <c r="B18" s="3" t="s">
        <v>10</v>
      </c>
      <c r="C18" s="10">
        <v>-358000</v>
      </c>
      <c r="D18" s="10">
        <v>-358000</v>
      </c>
      <c r="E18" s="10">
        <v>0</v>
      </c>
      <c r="F18" s="10">
        <f t="shared" si="9"/>
        <v>-358000</v>
      </c>
      <c r="G18" s="23">
        <v>0</v>
      </c>
      <c r="H18" s="10">
        <f t="shared" si="8"/>
        <v>-358000</v>
      </c>
      <c r="I18" s="3" t="s">
        <v>4</v>
      </c>
      <c r="J18" s="3"/>
      <c r="K18" s="6"/>
      <c r="L18" s="6"/>
      <c r="M18" s="6">
        <v>0</v>
      </c>
      <c r="N18" s="6">
        <f t="shared" ref="N18:N21" si="13">H18</f>
        <v>-358000</v>
      </c>
      <c r="O18" s="6">
        <v>0</v>
      </c>
      <c r="P18" s="6">
        <f>N18</f>
        <v>-358000</v>
      </c>
      <c r="Q18" s="6">
        <v>0</v>
      </c>
      <c r="R18" s="6">
        <v>0</v>
      </c>
      <c r="S18" s="10">
        <f t="shared" ref="S18:S22" si="14">P18+R18</f>
        <v>-358000</v>
      </c>
      <c r="T18" s="6">
        <v>0</v>
      </c>
      <c r="U18" s="10">
        <v>0</v>
      </c>
      <c r="V18" s="10">
        <f t="shared" si="12"/>
        <v>0</v>
      </c>
      <c r="W18" s="10">
        <v>0</v>
      </c>
      <c r="X18" s="22"/>
    </row>
    <row r="19" spans="1:24" x14ac:dyDescent="0.25">
      <c r="A19" s="2">
        <v>2036</v>
      </c>
      <c r="B19" s="3" t="s">
        <v>11</v>
      </c>
      <c r="C19" s="10">
        <v>5784</v>
      </c>
      <c r="D19" s="10">
        <v>5784</v>
      </c>
      <c r="E19" s="10">
        <v>0</v>
      </c>
      <c r="F19" s="10">
        <f t="shared" si="9"/>
        <v>5784</v>
      </c>
      <c r="G19" s="23">
        <v>0</v>
      </c>
      <c r="H19" s="10">
        <f t="shared" si="8"/>
        <v>5784</v>
      </c>
      <c r="I19" s="3" t="s">
        <v>4</v>
      </c>
      <c r="J19" s="3"/>
      <c r="K19" s="6"/>
      <c r="L19" s="6"/>
      <c r="M19" s="6">
        <v>0</v>
      </c>
      <c r="N19" s="6">
        <f t="shared" si="13"/>
        <v>5784</v>
      </c>
      <c r="O19" s="6">
        <v>0</v>
      </c>
      <c r="P19" s="6">
        <v>0</v>
      </c>
      <c r="Q19" s="6">
        <v>0</v>
      </c>
      <c r="R19" s="6">
        <v>0</v>
      </c>
      <c r="S19" s="10">
        <f t="shared" si="14"/>
        <v>0</v>
      </c>
      <c r="T19" s="6">
        <v>0</v>
      </c>
      <c r="U19" s="10">
        <v>0</v>
      </c>
      <c r="V19" s="10">
        <f t="shared" si="12"/>
        <v>0</v>
      </c>
      <c r="W19" s="10">
        <v>0</v>
      </c>
      <c r="X19" s="22"/>
    </row>
    <row r="20" spans="1:24" x14ac:dyDescent="0.25">
      <c r="A20" s="45">
        <v>2050</v>
      </c>
      <c r="B20" s="46" t="s">
        <v>12</v>
      </c>
      <c r="C20" s="10">
        <v>0</v>
      </c>
      <c r="D20" s="10">
        <v>0</v>
      </c>
      <c r="E20" s="10">
        <v>-60000</v>
      </c>
      <c r="F20" s="10">
        <f t="shared" si="9"/>
        <v>-60000</v>
      </c>
      <c r="G20" s="23">
        <v>0</v>
      </c>
      <c r="H20" s="10">
        <f t="shared" si="8"/>
        <v>-60000</v>
      </c>
      <c r="I20" s="3" t="s">
        <v>4</v>
      </c>
      <c r="J20" s="3"/>
      <c r="K20" s="6"/>
      <c r="L20" s="6"/>
      <c r="M20" s="6">
        <v>0</v>
      </c>
      <c r="N20" s="6">
        <f t="shared" si="13"/>
        <v>-60000</v>
      </c>
      <c r="O20" s="6">
        <v>0</v>
      </c>
      <c r="P20" s="6">
        <f>N20</f>
        <v>-60000</v>
      </c>
      <c r="Q20" s="6">
        <v>0</v>
      </c>
      <c r="R20" s="6">
        <v>0</v>
      </c>
      <c r="S20" s="10">
        <f t="shared" si="14"/>
        <v>-60000</v>
      </c>
      <c r="T20" s="6">
        <v>0</v>
      </c>
      <c r="U20" s="10">
        <v>0</v>
      </c>
      <c r="V20" s="10">
        <f t="shared" si="12"/>
        <v>0</v>
      </c>
      <c r="W20" s="10">
        <v>0</v>
      </c>
      <c r="X20" s="168" t="s">
        <v>61</v>
      </c>
    </row>
    <row r="21" spans="1:24" x14ac:dyDescent="0.25">
      <c r="A21" s="45">
        <v>2080</v>
      </c>
      <c r="B21" s="46" t="s">
        <v>13</v>
      </c>
      <c r="C21" s="10">
        <v>266860.46000000002</v>
      </c>
      <c r="D21" s="10">
        <v>266860.46000000002</v>
      </c>
      <c r="E21" s="10">
        <v>0</v>
      </c>
      <c r="F21" s="10">
        <f t="shared" si="9"/>
        <v>266860.46000000002</v>
      </c>
      <c r="G21" s="23">
        <f>-K10</f>
        <v>105572.31999999999</v>
      </c>
      <c r="H21" s="10">
        <f t="shared" si="8"/>
        <v>372432.78</v>
      </c>
      <c r="I21" s="3" t="s">
        <v>4</v>
      </c>
      <c r="J21" s="3"/>
      <c r="K21" s="6"/>
      <c r="L21" s="6"/>
      <c r="M21" s="6">
        <v>0</v>
      </c>
      <c r="N21" s="6">
        <f t="shared" si="13"/>
        <v>372432.78</v>
      </c>
      <c r="O21" s="6">
        <v>0</v>
      </c>
      <c r="P21" s="6">
        <v>0</v>
      </c>
      <c r="Q21" s="6">
        <f>N21</f>
        <v>372432.78</v>
      </c>
      <c r="R21" s="6">
        <v>0</v>
      </c>
      <c r="S21" s="10">
        <f t="shared" si="14"/>
        <v>0</v>
      </c>
      <c r="T21" s="6">
        <v>0</v>
      </c>
      <c r="U21" s="10">
        <v>0</v>
      </c>
      <c r="V21" s="10">
        <f t="shared" si="12"/>
        <v>0</v>
      </c>
      <c r="W21" s="10">
        <v>0</v>
      </c>
      <c r="X21" s="22"/>
    </row>
    <row r="22" spans="1:24" x14ac:dyDescent="0.25">
      <c r="A22" s="45">
        <v>2255</v>
      </c>
      <c r="B22" s="46" t="s">
        <v>14</v>
      </c>
      <c r="C22" s="10">
        <v>0</v>
      </c>
      <c r="D22" s="10">
        <v>0</v>
      </c>
      <c r="E22" s="10">
        <v>-50000</v>
      </c>
      <c r="F22" s="10">
        <f t="shared" si="9"/>
        <v>-50000</v>
      </c>
      <c r="G22" s="23">
        <v>0</v>
      </c>
      <c r="H22" s="10">
        <f t="shared" si="8"/>
        <v>-50000</v>
      </c>
      <c r="I22" s="3" t="s">
        <v>4</v>
      </c>
      <c r="J22" s="3"/>
      <c r="K22" s="6"/>
      <c r="L22" s="6"/>
      <c r="M22" s="6">
        <v>0</v>
      </c>
      <c r="N22" s="6">
        <v>0</v>
      </c>
      <c r="O22" s="6">
        <f>H22</f>
        <v>-50000</v>
      </c>
      <c r="P22" s="6">
        <v>0</v>
      </c>
      <c r="Q22" s="6">
        <v>0</v>
      </c>
      <c r="R22" s="6">
        <f>O22</f>
        <v>-50000</v>
      </c>
      <c r="S22" s="10">
        <f t="shared" si="14"/>
        <v>-50000</v>
      </c>
      <c r="T22" s="6">
        <v>0</v>
      </c>
      <c r="U22" s="10">
        <f>O22</f>
        <v>-50000</v>
      </c>
      <c r="V22" s="10">
        <v>0</v>
      </c>
      <c r="W22" s="10">
        <v>0</v>
      </c>
      <c r="X22" s="168" t="s">
        <v>62</v>
      </c>
    </row>
    <row r="23" spans="1:24" x14ac:dyDescent="0.25">
      <c r="A23" s="45">
        <v>2400</v>
      </c>
      <c r="B23" s="46" t="s">
        <v>15</v>
      </c>
      <c r="C23" s="10">
        <v>0</v>
      </c>
      <c r="D23" s="10">
        <v>0</v>
      </c>
      <c r="E23" s="10">
        <v>-7246.34</v>
      </c>
      <c r="F23" s="10">
        <f t="shared" si="9"/>
        <v>-7246.34</v>
      </c>
      <c r="G23" s="23">
        <f>-182639-55000</f>
        <v>-237639</v>
      </c>
      <c r="H23" s="10">
        <f t="shared" si="8"/>
        <v>-244885.34</v>
      </c>
      <c r="I23" s="3" t="s">
        <v>4</v>
      </c>
      <c r="J23" s="3"/>
      <c r="K23" s="6"/>
      <c r="L23" s="6"/>
      <c r="M23" s="6">
        <v>0</v>
      </c>
      <c r="N23" s="6">
        <v>0</v>
      </c>
      <c r="O23" s="6">
        <f t="shared" ref="O23:O26" si="15">H23</f>
        <v>-244885.34</v>
      </c>
      <c r="P23" s="6">
        <v>0</v>
      </c>
      <c r="Q23" s="6">
        <v>0</v>
      </c>
      <c r="R23" s="6">
        <v>0</v>
      </c>
      <c r="S23" s="10">
        <v>0</v>
      </c>
      <c r="T23" s="6">
        <f>G23</f>
        <v>-237639</v>
      </c>
      <c r="U23" s="10">
        <f t="shared" ref="U23:U26" si="16">O23</f>
        <v>-244885.34</v>
      </c>
      <c r="V23" s="10">
        <f>F23</f>
        <v>-7246.34</v>
      </c>
      <c r="W23" s="10">
        <f>V23</f>
        <v>-7246.34</v>
      </c>
      <c r="X23" s="168" t="s">
        <v>160</v>
      </c>
    </row>
    <row r="24" spans="1:24" x14ac:dyDescent="0.25">
      <c r="A24" s="2">
        <v>2701</v>
      </c>
      <c r="B24" s="3" t="s">
        <v>16</v>
      </c>
      <c r="C24" s="10">
        <v>0</v>
      </c>
      <c r="D24" s="10">
        <v>0</v>
      </c>
      <c r="E24" s="10">
        <v>-45021.95</v>
      </c>
      <c r="F24" s="10">
        <f t="shared" si="9"/>
        <v>-45021.95</v>
      </c>
      <c r="G24" s="23">
        <v>0</v>
      </c>
      <c r="H24" s="10">
        <f t="shared" si="8"/>
        <v>-45021.95</v>
      </c>
      <c r="I24" s="3" t="s">
        <v>4</v>
      </c>
      <c r="J24" s="3"/>
      <c r="K24" s="6"/>
      <c r="L24" s="6"/>
      <c r="M24" s="6">
        <v>0</v>
      </c>
      <c r="N24" s="6">
        <v>0</v>
      </c>
      <c r="O24" s="6">
        <f t="shared" si="15"/>
        <v>-45021.95</v>
      </c>
      <c r="P24" s="6">
        <v>0</v>
      </c>
      <c r="Q24" s="6">
        <v>0</v>
      </c>
      <c r="R24" s="6">
        <v>0</v>
      </c>
      <c r="S24" s="10">
        <v>0</v>
      </c>
      <c r="T24" s="6">
        <v>0</v>
      </c>
      <c r="U24" s="10">
        <f t="shared" si="16"/>
        <v>-45021.95</v>
      </c>
      <c r="V24" s="10">
        <f t="shared" si="12"/>
        <v>-45021.95</v>
      </c>
      <c r="W24" s="10">
        <f>V24</f>
        <v>-45021.95</v>
      </c>
      <c r="X24" s="22"/>
    </row>
    <row r="25" spans="1:24" x14ac:dyDescent="0.25">
      <c r="A25" s="45">
        <v>2711</v>
      </c>
      <c r="B25" s="46" t="s">
        <v>17</v>
      </c>
      <c r="C25" s="10">
        <v>0</v>
      </c>
      <c r="D25" s="10">
        <v>0</v>
      </c>
      <c r="E25" s="10">
        <v>6903.29</v>
      </c>
      <c r="F25" s="10">
        <f t="shared" si="9"/>
        <v>6903.29</v>
      </c>
      <c r="G25" s="23">
        <f>182639-146111.2</f>
        <v>36527.799999999988</v>
      </c>
      <c r="H25" s="10">
        <f t="shared" si="8"/>
        <v>43431.089999999989</v>
      </c>
      <c r="I25" s="3" t="s">
        <v>4</v>
      </c>
      <c r="J25" s="3"/>
      <c r="K25" s="6"/>
      <c r="L25" s="6"/>
      <c r="M25" s="6">
        <v>0</v>
      </c>
      <c r="N25" s="6">
        <v>0</v>
      </c>
      <c r="O25" s="6">
        <f t="shared" si="15"/>
        <v>43431.089999999989</v>
      </c>
      <c r="P25" s="6">
        <v>0</v>
      </c>
      <c r="Q25" s="6">
        <v>0</v>
      </c>
      <c r="R25" s="6">
        <v>0</v>
      </c>
      <c r="S25" s="10">
        <v>0</v>
      </c>
      <c r="T25" s="6">
        <v>0</v>
      </c>
      <c r="U25" s="10">
        <f t="shared" si="16"/>
        <v>43431.089999999989</v>
      </c>
      <c r="V25" s="10">
        <f t="shared" si="12"/>
        <v>43431.089999999989</v>
      </c>
      <c r="W25" s="10">
        <f>V25</f>
        <v>43431.089999999989</v>
      </c>
      <c r="X25" s="168" t="s">
        <v>161</v>
      </c>
    </row>
    <row r="26" spans="1:24" x14ac:dyDescent="0.25">
      <c r="A26" s="2">
        <v>2740</v>
      </c>
      <c r="B26" s="3" t="s">
        <v>18</v>
      </c>
      <c r="C26" s="10">
        <v>45291</v>
      </c>
      <c r="D26" s="10">
        <v>45291</v>
      </c>
      <c r="E26" s="10">
        <v>-45394</v>
      </c>
      <c r="F26" s="10">
        <f t="shared" si="9"/>
        <v>-103</v>
      </c>
      <c r="G26" s="23">
        <v>0</v>
      </c>
      <c r="H26" s="10">
        <f t="shared" si="8"/>
        <v>-103</v>
      </c>
      <c r="I26" s="3" t="s">
        <v>4</v>
      </c>
      <c r="J26" s="3"/>
      <c r="K26" s="6"/>
      <c r="L26" s="6"/>
      <c r="M26" s="6">
        <v>0</v>
      </c>
      <c r="N26" s="6">
        <v>0</v>
      </c>
      <c r="O26" s="6">
        <f t="shared" si="15"/>
        <v>-103</v>
      </c>
      <c r="P26" s="6">
        <v>0</v>
      </c>
      <c r="Q26" s="6">
        <v>0</v>
      </c>
      <c r="R26" s="6">
        <v>0</v>
      </c>
      <c r="S26" s="10">
        <v>0</v>
      </c>
      <c r="T26" s="6">
        <v>0</v>
      </c>
      <c r="U26" s="10">
        <f t="shared" si="16"/>
        <v>-103</v>
      </c>
      <c r="V26" s="10">
        <f t="shared" si="12"/>
        <v>-103</v>
      </c>
      <c r="W26" s="10">
        <f>V26</f>
        <v>-103</v>
      </c>
      <c r="X26" s="22"/>
    </row>
    <row r="27" spans="1:24" x14ac:dyDescent="0.25">
      <c r="A27" s="2">
        <v>3000</v>
      </c>
      <c r="B27" s="3" t="s">
        <v>19</v>
      </c>
      <c r="C27" s="10">
        <v>-96973.39</v>
      </c>
      <c r="D27" s="10">
        <v>0</v>
      </c>
      <c r="E27" s="10">
        <v>-611828.26</v>
      </c>
      <c r="F27" s="10">
        <f t="shared" si="9"/>
        <v>-611828.26</v>
      </c>
      <c r="G27" s="23">
        <v>0</v>
      </c>
      <c r="H27" s="10">
        <f t="shared" si="8"/>
        <v>-611828.26</v>
      </c>
      <c r="I27" s="3" t="s">
        <v>4</v>
      </c>
      <c r="J27" s="4">
        <f>C27</f>
        <v>-96973.39</v>
      </c>
      <c r="K27" s="6">
        <f>H27</f>
        <v>-611828.26</v>
      </c>
      <c r="L27" s="6">
        <f>J27+K27</f>
        <v>-708801.65</v>
      </c>
      <c r="M27" s="6"/>
      <c r="N27" s="6"/>
      <c r="O27" s="6"/>
      <c r="P27" s="6"/>
      <c r="Q27" s="6"/>
      <c r="R27" s="6"/>
      <c r="S27" s="10"/>
      <c r="T27" s="6"/>
      <c r="U27" s="10"/>
      <c r="V27" s="10"/>
      <c r="W27" s="10"/>
      <c r="X27" s="22"/>
    </row>
    <row r="28" spans="1:24" x14ac:dyDescent="0.25">
      <c r="A28" s="2">
        <v>3200</v>
      </c>
      <c r="B28" s="3" t="s">
        <v>20</v>
      </c>
      <c r="C28" s="10">
        <v>0</v>
      </c>
      <c r="D28" s="10">
        <v>0</v>
      </c>
      <c r="E28" s="10">
        <v>-1688</v>
      </c>
      <c r="F28" s="10">
        <f t="shared" si="9"/>
        <v>-1688</v>
      </c>
      <c r="G28" s="23">
        <v>0</v>
      </c>
      <c r="H28" s="10">
        <f t="shared" si="8"/>
        <v>-1688</v>
      </c>
      <c r="I28" s="3" t="s">
        <v>4</v>
      </c>
      <c r="J28" s="4">
        <f t="shared" ref="J28:J50" si="17">C28</f>
        <v>0</v>
      </c>
      <c r="K28" s="6">
        <f t="shared" ref="K28:K50" si="18">H28</f>
        <v>-1688</v>
      </c>
      <c r="L28" s="6">
        <f t="shared" ref="L28:L50" si="19">J28+K28</f>
        <v>-1688</v>
      </c>
      <c r="M28" s="6"/>
      <c r="N28" s="6"/>
      <c r="O28" s="6"/>
      <c r="P28" s="6"/>
      <c r="Q28" s="6"/>
      <c r="R28" s="6"/>
      <c r="S28" s="10"/>
      <c r="T28" s="6"/>
      <c r="U28" s="10"/>
      <c r="V28" s="10"/>
      <c r="W28" s="10"/>
      <c r="X28" s="22"/>
    </row>
    <row r="29" spans="1:24" x14ac:dyDescent="0.25">
      <c r="A29" s="2">
        <v>4000</v>
      </c>
      <c r="B29" s="3" t="s">
        <v>21</v>
      </c>
      <c r="C29" s="10">
        <v>0</v>
      </c>
      <c r="D29" s="10">
        <v>0</v>
      </c>
      <c r="E29" s="10">
        <v>312273.86</v>
      </c>
      <c r="F29" s="10">
        <f t="shared" si="9"/>
        <v>312273.86</v>
      </c>
      <c r="G29" s="23">
        <v>0</v>
      </c>
      <c r="H29" s="10">
        <f t="shared" si="8"/>
        <v>312273.86</v>
      </c>
      <c r="I29" s="3" t="s">
        <v>4</v>
      </c>
      <c r="J29" s="4">
        <f t="shared" si="17"/>
        <v>0</v>
      </c>
      <c r="K29" s="6">
        <f t="shared" si="18"/>
        <v>312273.86</v>
      </c>
      <c r="L29" s="6">
        <f t="shared" si="19"/>
        <v>312273.86</v>
      </c>
      <c r="M29" s="6"/>
      <c r="N29" s="6"/>
      <c r="O29" s="6"/>
      <c r="P29" s="6"/>
      <c r="Q29" s="6"/>
      <c r="R29" s="6"/>
      <c r="S29" s="10"/>
      <c r="T29" s="6"/>
      <c r="U29" s="10"/>
      <c r="V29" s="10"/>
      <c r="W29" s="10"/>
      <c r="X29" s="22"/>
    </row>
    <row r="30" spans="1:24" x14ac:dyDescent="0.25">
      <c r="A30" s="2">
        <v>4060</v>
      </c>
      <c r="B30" s="3" t="s">
        <v>22</v>
      </c>
      <c r="C30" s="10">
        <v>2043</v>
      </c>
      <c r="D30" s="10">
        <v>0</v>
      </c>
      <c r="E30" s="10">
        <v>19387</v>
      </c>
      <c r="F30" s="10">
        <f t="shared" si="9"/>
        <v>19387</v>
      </c>
      <c r="G30" s="23">
        <v>0</v>
      </c>
      <c r="H30" s="10">
        <f t="shared" si="8"/>
        <v>19387</v>
      </c>
      <c r="I30" s="3" t="s">
        <v>4</v>
      </c>
      <c r="J30" s="4">
        <f t="shared" si="17"/>
        <v>2043</v>
      </c>
      <c r="K30" s="6">
        <f t="shared" si="18"/>
        <v>19387</v>
      </c>
      <c r="L30" s="6">
        <f t="shared" si="19"/>
        <v>21430</v>
      </c>
      <c r="M30" s="6"/>
      <c r="N30" s="6"/>
      <c r="O30" s="6"/>
      <c r="P30" s="6"/>
      <c r="Q30" s="6"/>
      <c r="R30" s="6"/>
      <c r="S30" s="10"/>
      <c r="T30" s="6"/>
      <c r="U30" s="10"/>
      <c r="V30" s="10"/>
      <c r="W30" s="10"/>
      <c r="X30" s="22"/>
    </row>
    <row r="31" spans="1:24" x14ac:dyDescent="0.25">
      <c r="A31" s="45">
        <v>4300</v>
      </c>
      <c r="B31" s="46" t="s">
        <v>23</v>
      </c>
      <c r="C31" s="10">
        <v>208463.47</v>
      </c>
      <c r="D31" s="10">
        <v>0</v>
      </c>
      <c r="E31" s="10">
        <v>259298.39</v>
      </c>
      <c r="F31" s="10">
        <f t="shared" si="9"/>
        <v>259298.39</v>
      </c>
      <c r="G31" s="23">
        <f>146111.2+55000</f>
        <v>201111.2</v>
      </c>
      <c r="H31" s="10">
        <f t="shared" si="8"/>
        <v>460409.59</v>
      </c>
      <c r="I31" s="3" t="s">
        <v>4</v>
      </c>
      <c r="J31" s="4">
        <f t="shared" si="17"/>
        <v>208463.47</v>
      </c>
      <c r="K31" s="6">
        <f t="shared" si="18"/>
        <v>460409.59</v>
      </c>
      <c r="L31" s="6">
        <f t="shared" si="19"/>
        <v>668873.06000000006</v>
      </c>
      <c r="M31" s="6"/>
      <c r="N31" s="6"/>
      <c r="O31" s="6"/>
      <c r="P31" s="6"/>
      <c r="Q31" s="6"/>
      <c r="R31" s="6"/>
      <c r="S31" s="10"/>
      <c r="T31" s="6"/>
      <c r="U31" s="10"/>
      <c r="V31" s="10"/>
      <c r="W31" s="10"/>
      <c r="X31" s="168" t="s">
        <v>160</v>
      </c>
    </row>
    <row r="32" spans="1:24" x14ac:dyDescent="0.25">
      <c r="A32" s="2">
        <v>4360</v>
      </c>
      <c r="B32" s="3" t="s">
        <v>24</v>
      </c>
      <c r="C32" s="10">
        <v>847.5</v>
      </c>
      <c r="D32" s="10">
        <v>0</v>
      </c>
      <c r="E32" s="10">
        <v>7607.6</v>
      </c>
      <c r="F32" s="10">
        <f t="shared" si="9"/>
        <v>7607.6</v>
      </c>
      <c r="G32" s="23">
        <v>0</v>
      </c>
      <c r="H32" s="10">
        <f t="shared" si="8"/>
        <v>7607.6</v>
      </c>
      <c r="I32" s="3" t="s">
        <v>4</v>
      </c>
      <c r="J32" s="4">
        <f t="shared" si="17"/>
        <v>847.5</v>
      </c>
      <c r="K32" s="6">
        <f t="shared" si="18"/>
        <v>7607.6</v>
      </c>
      <c r="L32" s="6">
        <f t="shared" si="19"/>
        <v>8455.1</v>
      </c>
      <c r="M32" s="6"/>
      <c r="N32" s="6"/>
      <c r="O32" s="6"/>
      <c r="P32" s="6"/>
      <c r="Q32" s="6"/>
      <c r="R32" s="6"/>
      <c r="S32" s="10"/>
      <c r="T32" s="6"/>
      <c r="U32" s="10"/>
      <c r="V32" s="10"/>
      <c r="W32" s="10"/>
      <c r="X32" s="22"/>
    </row>
    <row r="33" spans="1:24" x14ac:dyDescent="0.25">
      <c r="A33" s="45">
        <v>4390</v>
      </c>
      <c r="B33" s="46" t="s">
        <v>25</v>
      </c>
      <c r="C33" s="10">
        <v>0</v>
      </c>
      <c r="D33" s="10">
        <v>0</v>
      </c>
      <c r="E33" s="10">
        <v>-325112.84999999998</v>
      </c>
      <c r="F33" s="10">
        <f t="shared" si="9"/>
        <v>-325112.84999999998</v>
      </c>
      <c r="G33" s="23">
        <v>0</v>
      </c>
      <c r="H33" s="10">
        <f t="shared" si="8"/>
        <v>-325112.84999999998</v>
      </c>
      <c r="I33" s="3" t="s">
        <v>4</v>
      </c>
      <c r="J33" s="4">
        <f t="shared" si="17"/>
        <v>0</v>
      </c>
      <c r="K33" s="6">
        <f t="shared" si="18"/>
        <v>-325112.84999999998</v>
      </c>
      <c r="L33" s="6">
        <f t="shared" si="19"/>
        <v>-325112.84999999998</v>
      </c>
      <c r="M33" s="6"/>
      <c r="N33" s="6"/>
      <c r="O33" s="6"/>
      <c r="P33" s="6"/>
      <c r="Q33" s="6"/>
      <c r="R33" s="6"/>
      <c r="S33" s="10"/>
      <c r="T33" s="6"/>
      <c r="U33" s="10"/>
      <c r="V33" s="10"/>
      <c r="W33" s="10"/>
      <c r="X33" s="168" t="s">
        <v>162</v>
      </c>
    </row>
    <row r="34" spans="1:24" x14ac:dyDescent="0.25">
      <c r="A34" s="2">
        <v>4391</v>
      </c>
      <c r="B34" s="3" t="s">
        <v>167</v>
      </c>
      <c r="C34" s="10">
        <v>0</v>
      </c>
      <c r="D34" s="10">
        <v>0</v>
      </c>
      <c r="E34" s="10">
        <v>0</v>
      </c>
      <c r="F34" s="10">
        <f t="shared" si="9"/>
        <v>0</v>
      </c>
      <c r="G34" s="23">
        <v>0</v>
      </c>
      <c r="H34" s="10">
        <f t="shared" si="8"/>
        <v>0</v>
      </c>
      <c r="I34" s="3"/>
      <c r="J34" s="4">
        <f t="shared" si="17"/>
        <v>0</v>
      </c>
      <c r="K34" s="6">
        <f t="shared" si="18"/>
        <v>0</v>
      </c>
      <c r="L34" s="6">
        <f t="shared" si="19"/>
        <v>0</v>
      </c>
      <c r="M34" s="6"/>
      <c r="N34" s="6"/>
      <c r="O34" s="6"/>
      <c r="P34" s="6"/>
      <c r="Q34" s="6"/>
      <c r="R34" s="6"/>
      <c r="S34" s="10"/>
      <c r="T34" s="6"/>
      <c r="U34" s="10"/>
      <c r="V34" s="10"/>
      <c r="W34" s="10"/>
      <c r="X34" s="22"/>
    </row>
    <row r="35" spans="1:24" x14ac:dyDescent="0.25">
      <c r="A35" s="2">
        <v>4600</v>
      </c>
      <c r="B35" s="3" t="s">
        <v>26</v>
      </c>
      <c r="C35" s="10">
        <v>862</v>
      </c>
      <c r="D35" s="10">
        <v>0</v>
      </c>
      <c r="E35" s="10">
        <v>860.8</v>
      </c>
      <c r="F35" s="10">
        <f t="shared" si="9"/>
        <v>860.8</v>
      </c>
      <c r="G35" s="23">
        <v>0</v>
      </c>
      <c r="H35" s="10">
        <f t="shared" si="8"/>
        <v>860.8</v>
      </c>
      <c r="I35" s="3" t="s">
        <v>4</v>
      </c>
      <c r="J35" s="4">
        <f t="shared" si="17"/>
        <v>862</v>
      </c>
      <c r="K35" s="6">
        <f t="shared" si="18"/>
        <v>860.8</v>
      </c>
      <c r="L35" s="6">
        <f t="shared" si="19"/>
        <v>1722.8</v>
      </c>
      <c r="M35" s="6"/>
      <c r="N35" s="6"/>
      <c r="O35" s="6"/>
      <c r="P35" s="6"/>
      <c r="Q35" s="6"/>
      <c r="R35" s="6"/>
      <c r="S35" s="10"/>
      <c r="T35" s="6"/>
      <c r="U35" s="10"/>
      <c r="V35" s="10"/>
      <c r="W35" s="10"/>
      <c r="X35" s="22"/>
    </row>
    <row r="36" spans="1:24" x14ac:dyDescent="0.25">
      <c r="A36" s="2">
        <v>6100</v>
      </c>
      <c r="B36" s="3" t="s">
        <v>27</v>
      </c>
      <c r="C36" s="10">
        <v>4382.87</v>
      </c>
      <c r="D36" s="10">
        <v>0</v>
      </c>
      <c r="E36" s="10">
        <v>73081.649999999994</v>
      </c>
      <c r="F36" s="10">
        <f t="shared" si="9"/>
        <v>73081.649999999994</v>
      </c>
      <c r="G36" s="23">
        <v>0</v>
      </c>
      <c r="H36" s="10">
        <f t="shared" si="8"/>
        <v>73081.649999999994</v>
      </c>
      <c r="I36" s="3" t="s">
        <v>4</v>
      </c>
      <c r="J36" s="4">
        <f t="shared" si="17"/>
        <v>4382.87</v>
      </c>
      <c r="K36" s="6">
        <f t="shared" si="18"/>
        <v>73081.649999999994</v>
      </c>
      <c r="L36" s="6">
        <f t="shared" si="19"/>
        <v>77464.51999999999</v>
      </c>
      <c r="M36" s="6"/>
      <c r="N36" s="6"/>
      <c r="O36" s="6"/>
      <c r="P36" s="6"/>
      <c r="Q36" s="6"/>
      <c r="R36" s="6"/>
      <c r="S36" s="10"/>
      <c r="T36" s="6"/>
      <c r="U36" s="10"/>
      <c r="V36" s="10"/>
      <c r="W36" s="10"/>
      <c r="X36" s="22"/>
    </row>
    <row r="37" spans="1:24" x14ac:dyDescent="0.25">
      <c r="A37" s="2">
        <v>6300</v>
      </c>
      <c r="B37" s="3" t="s">
        <v>28</v>
      </c>
      <c r="C37" s="10">
        <v>0</v>
      </c>
      <c r="D37" s="10">
        <v>0</v>
      </c>
      <c r="E37" s="10">
        <v>26800</v>
      </c>
      <c r="F37" s="10">
        <f t="shared" si="9"/>
        <v>26800</v>
      </c>
      <c r="G37" s="23">
        <v>0</v>
      </c>
      <c r="H37" s="10">
        <f t="shared" si="8"/>
        <v>26800</v>
      </c>
      <c r="I37" s="3" t="s">
        <v>4</v>
      </c>
      <c r="J37" s="4">
        <f t="shared" si="17"/>
        <v>0</v>
      </c>
      <c r="K37" s="6">
        <f t="shared" si="18"/>
        <v>26800</v>
      </c>
      <c r="L37" s="6">
        <f t="shared" si="19"/>
        <v>26800</v>
      </c>
      <c r="M37" s="6"/>
      <c r="N37" s="6"/>
      <c r="O37" s="6"/>
      <c r="P37" s="6"/>
      <c r="Q37" s="6"/>
      <c r="R37" s="6"/>
      <c r="S37" s="10"/>
      <c r="T37" s="6"/>
      <c r="U37" s="10"/>
      <c r="V37" s="10"/>
      <c r="W37" s="10"/>
      <c r="X37" s="22"/>
    </row>
    <row r="38" spans="1:24" x14ac:dyDescent="0.25">
      <c r="A38" s="2">
        <v>6400</v>
      </c>
      <c r="B38" s="3" t="s">
        <v>29</v>
      </c>
      <c r="C38" s="10">
        <v>0</v>
      </c>
      <c r="D38" s="10">
        <v>0</v>
      </c>
      <c r="E38" s="10">
        <v>23828.67</v>
      </c>
      <c r="F38" s="10">
        <f t="shared" si="9"/>
        <v>23828.67</v>
      </c>
      <c r="G38" s="23">
        <v>0</v>
      </c>
      <c r="H38" s="10">
        <f t="shared" si="8"/>
        <v>23828.67</v>
      </c>
      <c r="I38" s="3" t="s">
        <v>4</v>
      </c>
      <c r="J38" s="4">
        <f t="shared" si="17"/>
        <v>0</v>
      </c>
      <c r="K38" s="6">
        <f t="shared" si="18"/>
        <v>23828.67</v>
      </c>
      <c r="L38" s="6">
        <f t="shared" si="19"/>
        <v>23828.67</v>
      </c>
      <c r="M38" s="6"/>
      <c r="N38" s="6"/>
      <c r="O38" s="6"/>
      <c r="P38" s="6"/>
      <c r="Q38" s="6"/>
      <c r="R38" s="6"/>
      <c r="S38" s="10"/>
      <c r="T38" s="6"/>
      <c r="U38" s="10"/>
      <c r="V38" s="10"/>
      <c r="W38" s="10"/>
      <c r="X38" s="22"/>
    </row>
    <row r="39" spans="1:24" x14ac:dyDescent="0.25">
      <c r="A39" s="2">
        <v>6500</v>
      </c>
      <c r="B39" s="3" t="s">
        <v>30</v>
      </c>
      <c r="C39" s="10">
        <v>0</v>
      </c>
      <c r="D39" s="10">
        <v>0</v>
      </c>
      <c r="E39" s="10">
        <v>3199.2</v>
      </c>
      <c r="F39" s="10">
        <f t="shared" si="9"/>
        <v>3199.2</v>
      </c>
      <c r="G39" s="23">
        <v>0</v>
      </c>
      <c r="H39" s="10">
        <f t="shared" si="8"/>
        <v>3199.2</v>
      </c>
      <c r="I39" s="3" t="s">
        <v>4</v>
      </c>
      <c r="J39" s="4">
        <f t="shared" si="17"/>
        <v>0</v>
      </c>
      <c r="K39" s="6">
        <f t="shared" si="18"/>
        <v>3199.2</v>
      </c>
      <c r="L39" s="6">
        <f t="shared" si="19"/>
        <v>3199.2</v>
      </c>
      <c r="M39" s="6"/>
      <c r="N39" s="6"/>
      <c r="O39" s="6"/>
      <c r="P39" s="6"/>
      <c r="Q39" s="6"/>
      <c r="R39" s="6"/>
      <c r="S39" s="10"/>
      <c r="T39" s="6"/>
      <c r="U39" s="10"/>
      <c r="V39" s="10"/>
      <c r="W39" s="10"/>
      <c r="X39" s="22"/>
    </row>
    <row r="40" spans="1:24" x14ac:dyDescent="0.25">
      <c r="A40" s="2">
        <v>6540</v>
      </c>
      <c r="B40" s="3" t="s">
        <v>31</v>
      </c>
      <c r="C40" s="10">
        <v>0</v>
      </c>
      <c r="D40" s="10">
        <v>0</v>
      </c>
      <c r="E40" s="10">
        <v>11729.36</v>
      </c>
      <c r="F40" s="10">
        <f t="shared" si="9"/>
        <v>11729.36</v>
      </c>
      <c r="G40" s="23">
        <v>0</v>
      </c>
      <c r="H40" s="10">
        <f t="shared" si="8"/>
        <v>11729.36</v>
      </c>
      <c r="I40" s="3" t="s">
        <v>4</v>
      </c>
      <c r="J40" s="4">
        <f t="shared" si="17"/>
        <v>0</v>
      </c>
      <c r="K40" s="6">
        <f t="shared" si="18"/>
        <v>11729.36</v>
      </c>
      <c r="L40" s="6">
        <f t="shared" si="19"/>
        <v>11729.36</v>
      </c>
      <c r="M40" s="6"/>
      <c r="N40" s="6"/>
      <c r="O40" s="6"/>
      <c r="P40" s="6"/>
      <c r="Q40" s="6"/>
      <c r="R40" s="6"/>
      <c r="S40" s="10"/>
      <c r="T40" s="6"/>
      <c r="U40" s="10"/>
      <c r="V40" s="10"/>
      <c r="W40" s="10"/>
      <c r="X40" s="22"/>
    </row>
    <row r="41" spans="1:24" x14ac:dyDescent="0.25">
      <c r="A41" s="5">
        <v>6551</v>
      </c>
      <c r="B41" s="5" t="s">
        <v>41</v>
      </c>
      <c r="C41" s="10">
        <v>2775.2</v>
      </c>
      <c r="D41" s="10">
        <v>0</v>
      </c>
      <c r="E41" s="10">
        <v>0</v>
      </c>
      <c r="F41" s="10">
        <f t="shared" si="9"/>
        <v>0</v>
      </c>
      <c r="G41" s="23">
        <v>0</v>
      </c>
      <c r="H41" s="10">
        <f t="shared" si="8"/>
        <v>0</v>
      </c>
      <c r="I41" s="3"/>
      <c r="J41" s="4">
        <f t="shared" si="17"/>
        <v>2775.2</v>
      </c>
      <c r="K41" s="6">
        <f t="shared" si="18"/>
        <v>0</v>
      </c>
      <c r="L41" s="6">
        <f t="shared" si="19"/>
        <v>2775.2</v>
      </c>
      <c r="M41" s="6"/>
      <c r="N41" s="6"/>
      <c r="O41" s="6"/>
      <c r="P41" s="6"/>
      <c r="Q41" s="6"/>
      <c r="R41" s="6"/>
      <c r="S41" s="10"/>
      <c r="T41" s="6"/>
      <c r="U41" s="10"/>
      <c r="V41" s="10"/>
      <c r="W41" s="10"/>
      <c r="X41" s="22"/>
    </row>
    <row r="42" spans="1:24" x14ac:dyDescent="0.25">
      <c r="A42" s="45">
        <v>6553</v>
      </c>
      <c r="B42" s="46" t="s">
        <v>32</v>
      </c>
      <c r="C42" s="10">
        <v>132593.07</v>
      </c>
      <c r="D42" s="10">
        <v>0</v>
      </c>
      <c r="E42" s="10">
        <v>95988.2</v>
      </c>
      <c r="F42" s="10">
        <f t="shared" si="9"/>
        <v>95988.2</v>
      </c>
      <c r="G42" s="23">
        <v>0</v>
      </c>
      <c r="H42" s="10">
        <f t="shared" si="8"/>
        <v>95988.2</v>
      </c>
      <c r="I42" s="3" t="s">
        <v>4</v>
      </c>
      <c r="J42" s="4">
        <f t="shared" si="17"/>
        <v>132593.07</v>
      </c>
      <c r="K42" s="6">
        <f t="shared" si="18"/>
        <v>95988.2</v>
      </c>
      <c r="L42" s="6">
        <f t="shared" si="19"/>
        <v>228581.27000000002</v>
      </c>
      <c r="M42" s="6"/>
      <c r="N42" s="6"/>
      <c r="O42" s="6"/>
      <c r="P42" s="6"/>
      <c r="Q42" s="6"/>
      <c r="R42" s="6"/>
      <c r="S42" s="10"/>
      <c r="T42" s="6"/>
      <c r="U42" s="10"/>
      <c r="V42" s="10"/>
      <c r="W42" s="10"/>
      <c r="X42" s="168" t="s">
        <v>63</v>
      </c>
    </row>
    <row r="43" spans="1:24" x14ac:dyDescent="0.25">
      <c r="A43" s="2">
        <v>6560</v>
      </c>
      <c r="B43" s="3" t="s">
        <v>33</v>
      </c>
      <c r="C43" s="10">
        <v>0</v>
      </c>
      <c r="D43" s="10">
        <v>0</v>
      </c>
      <c r="E43" s="10">
        <v>372.8</v>
      </c>
      <c r="F43" s="10">
        <f t="shared" si="9"/>
        <v>372.8</v>
      </c>
      <c r="G43" s="23">
        <v>0</v>
      </c>
      <c r="H43" s="10">
        <f t="shared" si="8"/>
        <v>372.8</v>
      </c>
      <c r="I43" s="3" t="s">
        <v>4</v>
      </c>
      <c r="J43" s="4">
        <f t="shared" si="17"/>
        <v>0</v>
      </c>
      <c r="K43" s="6">
        <f t="shared" si="18"/>
        <v>372.8</v>
      </c>
      <c r="L43" s="6">
        <f t="shared" si="19"/>
        <v>372.8</v>
      </c>
      <c r="M43" s="6"/>
      <c r="N43" s="6"/>
      <c r="O43" s="6"/>
      <c r="P43" s="6"/>
      <c r="Q43" s="6"/>
      <c r="R43" s="6"/>
      <c r="S43" s="10"/>
      <c r="T43" s="6"/>
      <c r="U43" s="10"/>
      <c r="V43" s="10"/>
      <c r="W43" s="10"/>
      <c r="X43" s="22"/>
    </row>
    <row r="44" spans="1:24" x14ac:dyDescent="0.25">
      <c r="A44" s="2">
        <v>6800</v>
      </c>
      <c r="B44" s="3" t="s">
        <v>34</v>
      </c>
      <c r="C44" s="10">
        <v>11535</v>
      </c>
      <c r="D44" s="10">
        <v>0</v>
      </c>
      <c r="E44" s="10">
        <v>1266.4000000000001</v>
      </c>
      <c r="F44" s="10">
        <f t="shared" si="9"/>
        <v>1266.4000000000001</v>
      </c>
      <c r="G44" s="23">
        <v>0</v>
      </c>
      <c r="H44" s="10">
        <f t="shared" si="8"/>
        <v>1266.4000000000001</v>
      </c>
      <c r="I44" s="3" t="s">
        <v>4</v>
      </c>
      <c r="J44" s="4">
        <f t="shared" si="17"/>
        <v>11535</v>
      </c>
      <c r="K44" s="6">
        <f t="shared" si="18"/>
        <v>1266.4000000000001</v>
      </c>
      <c r="L44" s="6">
        <f t="shared" si="19"/>
        <v>12801.4</v>
      </c>
      <c r="M44" s="6"/>
      <c r="N44" s="6"/>
      <c r="O44" s="6"/>
      <c r="P44" s="6"/>
      <c r="Q44" s="6"/>
      <c r="R44" s="6"/>
      <c r="S44" s="10"/>
      <c r="T44" s="6"/>
      <c r="U44" s="10"/>
      <c r="V44" s="10"/>
      <c r="W44" s="10"/>
      <c r="X44" s="22"/>
    </row>
    <row r="45" spans="1:24" x14ac:dyDescent="0.25">
      <c r="A45" s="2">
        <v>7740</v>
      </c>
      <c r="B45" s="3" t="s">
        <v>35</v>
      </c>
      <c r="C45" s="10">
        <v>1.1200000000000001</v>
      </c>
      <c r="D45" s="10">
        <v>0</v>
      </c>
      <c r="E45" s="10">
        <v>-1.32</v>
      </c>
      <c r="F45" s="10">
        <f t="shared" si="9"/>
        <v>-1.32</v>
      </c>
      <c r="G45" s="23">
        <v>0</v>
      </c>
      <c r="H45" s="10">
        <f t="shared" si="8"/>
        <v>-1.32</v>
      </c>
      <c r="I45" s="3" t="s">
        <v>4</v>
      </c>
      <c r="J45" s="4">
        <f t="shared" si="17"/>
        <v>1.1200000000000001</v>
      </c>
      <c r="K45" s="6">
        <f t="shared" si="18"/>
        <v>-1.32</v>
      </c>
      <c r="L45" s="6">
        <f t="shared" si="19"/>
        <v>-0.19999999999999996</v>
      </c>
      <c r="M45" s="6"/>
      <c r="N45" s="6"/>
      <c r="O45" s="6"/>
      <c r="P45" s="6"/>
      <c r="Q45" s="6"/>
      <c r="R45" s="6"/>
      <c r="S45" s="10"/>
      <c r="T45" s="6"/>
      <c r="U45" s="10"/>
      <c r="V45" s="10"/>
      <c r="W45" s="10"/>
      <c r="X45" s="22"/>
    </row>
    <row r="46" spans="1:24" x14ac:dyDescent="0.25">
      <c r="A46" s="2">
        <v>7770</v>
      </c>
      <c r="B46" s="3" t="s">
        <v>36</v>
      </c>
      <c r="C46" s="10">
        <v>0</v>
      </c>
      <c r="D46" s="10">
        <v>0</v>
      </c>
      <c r="E46" s="10">
        <v>1339.72</v>
      </c>
      <c r="F46" s="10">
        <f t="shared" si="9"/>
        <v>1339.72</v>
      </c>
      <c r="G46" s="23">
        <v>0</v>
      </c>
      <c r="H46" s="10">
        <f t="shared" si="8"/>
        <v>1339.72</v>
      </c>
      <c r="I46" s="3" t="s">
        <v>4</v>
      </c>
      <c r="J46" s="4">
        <f t="shared" si="17"/>
        <v>0</v>
      </c>
      <c r="K46" s="6">
        <f t="shared" si="18"/>
        <v>1339.72</v>
      </c>
      <c r="L46" s="6">
        <f t="shared" si="19"/>
        <v>1339.72</v>
      </c>
      <c r="M46" s="6"/>
      <c r="N46" s="6"/>
      <c r="O46" s="6"/>
      <c r="P46" s="6"/>
      <c r="Q46" s="6"/>
      <c r="R46" s="6"/>
      <c r="S46" s="10"/>
      <c r="T46" s="6"/>
      <c r="U46" s="10"/>
      <c r="V46" s="10"/>
      <c r="W46" s="10"/>
      <c r="X46" s="22"/>
    </row>
    <row r="47" spans="1:24" x14ac:dyDescent="0.25">
      <c r="A47" s="2">
        <v>7798</v>
      </c>
      <c r="B47" s="3" t="s">
        <v>37</v>
      </c>
      <c r="C47" s="10">
        <v>0</v>
      </c>
      <c r="D47" s="10">
        <v>0</v>
      </c>
      <c r="E47" s="10">
        <v>1315.2</v>
      </c>
      <c r="F47" s="10">
        <f t="shared" si="9"/>
        <v>1315.2</v>
      </c>
      <c r="G47" s="23">
        <v>0</v>
      </c>
      <c r="H47" s="10">
        <f t="shared" si="8"/>
        <v>1315.2</v>
      </c>
      <c r="I47" s="3" t="s">
        <v>4</v>
      </c>
      <c r="J47" s="4">
        <f t="shared" si="17"/>
        <v>0</v>
      </c>
      <c r="K47" s="6">
        <f t="shared" si="18"/>
        <v>1315.2</v>
      </c>
      <c r="L47" s="6">
        <f t="shared" si="19"/>
        <v>1315.2</v>
      </c>
      <c r="M47" s="6"/>
      <c r="N47" s="6"/>
      <c r="O47" s="6"/>
      <c r="P47" s="6"/>
      <c r="Q47" s="6"/>
      <c r="R47" s="6"/>
      <c r="S47" s="10"/>
      <c r="T47" s="6"/>
      <c r="U47" s="10"/>
      <c r="V47" s="10"/>
      <c r="W47" s="10"/>
      <c r="X47" s="22"/>
    </row>
    <row r="48" spans="1:24" x14ac:dyDescent="0.25">
      <c r="A48" s="2">
        <v>7799</v>
      </c>
      <c r="B48" s="3" t="s">
        <v>38</v>
      </c>
      <c r="C48" s="10">
        <v>0</v>
      </c>
      <c r="D48" s="10">
        <v>0</v>
      </c>
      <c r="E48" s="10">
        <v>963.3</v>
      </c>
      <c r="F48" s="10">
        <f t="shared" si="9"/>
        <v>963.3</v>
      </c>
      <c r="G48" s="23">
        <v>0</v>
      </c>
      <c r="H48" s="10">
        <f t="shared" si="8"/>
        <v>963.3</v>
      </c>
      <c r="I48" s="3" t="s">
        <v>4</v>
      </c>
      <c r="J48" s="4">
        <f t="shared" si="17"/>
        <v>0</v>
      </c>
      <c r="K48" s="6">
        <f t="shared" si="18"/>
        <v>963.3</v>
      </c>
      <c r="L48" s="6">
        <f t="shared" si="19"/>
        <v>963.3</v>
      </c>
      <c r="M48" s="6"/>
      <c r="N48" s="6"/>
      <c r="O48" s="6"/>
      <c r="P48" s="6"/>
      <c r="Q48" s="6"/>
      <c r="R48" s="6"/>
      <c r="S48" s="10"/>
      <c r="T48" s="6"/>
      <c r="U48" s="10"/>
      <c r="V48" s="10"/>
      <c r="W48" s="10"/>
      <c r="X48" s="22"/>
    </row>
    <row r="49" spans="1:24" x14ac:dyDescent="0.25">
      <c r="A49" s="2">
        <v>8060</v>
      </c>
      <c r="B49" s="3" t="s">
        <v>39</v>
      </c>
      <c r="C49" s="10">
        <v>0</v>
      </c>
      <c r="D49" s="10">
        <v>0</v>
      </c>
      <c r="E49" s="10">
        <v>-98.22</v>
      </c>
      <c r="F49" s="10">
        <f t="shared" si="9"/>
        <v>-98.22</v>
      </c>
      <c r="G49" s="23">
        <v>0</v>
      </c>
      <c r="H49" s="10">
        <f t="shared" si="8"/>
        <v>-98.22</v>
      </c>
      <c r="I49" s="3" t="s">
        <v>4</v>
      </c>
      <c r="J49" s="4">
        <f t="shared" si="17"/>
        <v>0</v>
      </c>
      <c r="K49" s="6">
        <f t="shared" si="18"/>
        <v>-98.22</v>
      </c>
      <c r="L49" s="6">
        <f t="shared" si="19"/>
        <v>-98.22</v>
      </c>
      <c r="M49" s="6"/>
      <c r="N49" s="6"/>
      <c r="O49" s="6"/>
      <c r="P49" s="6"/>
      <c r="Q49" s="6"/>
      <c r="R49" s="6"/>
      <c r="S49" s="10"/>
      <c r="T49" s="6"/>
      <c r="U49" s="10"/>
      <c r="V49" s="10"/>
      <c r="W49" s="10"/>
      <c r="X49" s="22"/>
    </row>
    <row r="50" spans="1:24" x14ac:dyDescent="0.25">
      <c r="A50" s="2">
        <v>8160</v>
      </c>
      <c r="B50" s="3" t="s">
        <v>40</v>
      </c>
      <c r="C50" s="10">
        <v>330.62</v>
      </c>
      <c r="D50" s="10">
        <v>0</v>
      </c>
      <c r="E50" s="10">
        <v>3877.62</v>
      </c>
      <c r="F50" s="10">
        <f t="shared" si="9"/>
        <v>3877.62</v>
      </c>
      <c r="G50" s="23">
        <v>0</v>
      </c>
      <c r="H50" s="10">
        <f t="shared" si="8"/>
        <v>3877.62</v>
      </c>
      <c r="I50" s="3" t="s">
        <v>4</v>
      </c>
      <c r="J50" s="4">
        <f t="shared" si="17"/>
        <v>330.62</v>
      </c>
      <c r="K50" s="6">
        <f t="shared" si="18"/>
        <v>3877.62</v>
      </c>
      <c r="L50" s="6">
        <f t="shared" si="19"/>
        <v>4208.24</v>
      </c>
      <c r="M50" s="6"/>
      <c r="N50" s="6"/>
      <c r="O50" s="6"/>
      <c r="P50" s="6"/>
      <c r="Q50" s="6"/>
      <c r="R50" s="6"/>
      <c r="S50" s="10"/>
      <c r="T50" s="6"/>
      <c r="U50" s="10"/>
      <c r="V50" s="10"/>
      <c r="W50" s="10"/>
      <c r="X50" s="22"/>
    </row>
    <row r="51" spans="1:24" x14ac:dyDescent="0.25">
      <c r="A51" s="5">
        <v>8990</v>
      </c>
      <c r="B51" s="5" t="s">
        <v>42</v>
      </c>
      <c r="C51" s="10">
        <v>-266860.46000000002</v>
      </c>
      <c r="D51" s="10">
        <v>0</v>
      </c>
      <c r="E51" s="10">
        <v>0</v>
      </c>
      <c r="F51" s="10">
        <f t="shared" si="9"/>
        <v>0</v>
      </c>
      <c r="G51" s="23">
        <f>K10</f>
        <v>-105572.31999999999</v>
      </c>
      <c r="H51" s="10">
        <f t="shared" si="8"/>
        <v>-105572.31999999999</v>
      </c>
      <c r="I51" s="7"/>
      <c r="J51" s="6">
        <v>0</v>
      </c>
      <c r="K51" s="6">
        <v>0</v>
      </c>
      <c r="L51" s="6"/>
      <c r="M51" s="6"/>
      <c r="N51" s="6"/>
      <c r="O51" s="6"/>
      <c r="P51" s="6"/>
      <c r="Q51" s="6"/>
      <c r="R51" s="6"/>
      <c r="S51" s="10"/>
      <c r="T51" s="6"/>
      <c r="U51" s="10"/>
      <c r="V51" s="10"/>
      <c r="W51" s="10"/>
      <c r="X51" s="22"/>
    </row>
  </sheetData>
  <autoFilter ref="A11:X51" xr:uid="{00000000-0001-0000-0000-000000000000}"/>
  <mergeCells count="7">
    <mergeCell ref="G7:I7"/>
    <mergeCell ref="G8:I8"/>
    <mergeCell ref="G2:I2"/>
    <mergeCell ref="G3:I3"/>
    <mergeCell ref="G4:I4"/>
    <mergeCell ref="G5:I5"/>
    <mergeCell ref="G6:I6"/>
  </mergeCells>
  <phoneticPr fontId="5" type="noConversion"/>
  <conditionalFormatting sqref="C10:W10">
    <cfRule type="cellIs" dxfId="154" priority="2" operator="greaterThan">
      <formula>0</formula>
    </cfRule>
    <cfRule type="cellIs" dxfId="153" priority="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4</vt:i4>
      </vt:variant>
      <vt:variant>
        <vt:lpstr>Navngitte områder</vt:lpstr>
      </vt:variant>
      <vt:variant>
        <vt:i4>2</vt:i4>
      </vt:variant>
    </vt:vector>
  </HeadingPairs>
  <TitlesOfParts>
    <vt:vector size="6" baseType="lpstr">
      <vt:lpstr>MOT OPPRINNELIGE TALL </vt:lpstr>
      <vt:lpstr>NØKKELTALL OVERORDNET AVTALE </vt:lpstr>
      <vt:lpstr>PLANTEDAMP AS 2022-2025</vt:lpstr>
      <vt:lpstr>GRO PRO AS 2024 OG 2025 </vt:lpstr>
      <vt:lpstr>'MOT OPPRINNELIGE TALL '!Utskriftsområde</vt:lpstr>
      <vt:lpstr>'NØKKELTALL OVERORDNET AVTALE '!Utskriftsområde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Svein Skorpen</cp:lastModifiedBy>
  <cp:lastPrinted>2026-01-09T05:10:49Z</cp:lastPrinted>
  <dcterms:created xsi:type="dcterms:W3CDTF">2026-01-06T06:24:53Z</dcterms:created>
  <dcterms:modified xsi:type="dcterms:W3CDTF">2026-01-09T05:13:26Z</dcterms:modified>
</cp:coreProperties>
</file>