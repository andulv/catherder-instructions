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100\Brukere\svein.byrknes\Documents\SVEIN- Plantedamp  AS Anders Ulveseth\"/>
    </mc:Choice>
  </mc:AlternateContent>
  <xr:revisionPtr revIDLastSave="0" documentId="8_{E28F9AF6-3A7E-45C2-B854-3C1DB71F8A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t pr. 31 10 2025 " sheetId="2" r:id="rId1"/>
    <sheet name="Saldobalanse-31.10.2025" sheetId="1" r:id="rId2"/>
  </sheets>
  <definedNames>
    <definedName name="_xlnm._FilterDatabase" localSheetId="1" hidden="1">'Saldobalanse-31.10.2025'!$A$2:$F$2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I1" i="2"/>
  <c r="J1" i="2"/>
  <c r="K1" i="2"/>
  <c r="L1" i="2"/>
  <c r="M1" i="2"/>
  <c r="N1" i="2"/>
  <c r="O1" i="2"/>
  <c r="P1" i="2"/>
  <c r="G1" i="2"/>
  <c r="D1" i="2"/>
  <c r="E1" i="2"/>
  <c r="C1" i="2"/>
</calcChain>
</file>

<file path=xl/sharedStrings.xml><?xml version="1.0" encoding="utf-8"?>
<sst xmlns="http://schemas.openxmlformats.org/spreadsheetml/2006/main" count="350" uniqueCount="154">
  <si>
    <t>Kontonr</t>
  </si>
  <si>
    <t>Konto</t>
  </si>
  <si>
    <t>Inngående 01.01.2025</t>
  </si>
  <si>
    <t>Endring</t>
  </si>
  <si>
    <t>Utgående 31.10.2025</t>
  </si>
  <si>
    <t>Avstemt til</t>
  </si>
  <si>
    <t>Depositum</t>
  </si>
  <si>
    <t/>
  </si>
  <si>
    <t>Varelager: Varer for videresalg, emballasje og demonstrasjonsvarer</t>
  </si>
  <si>
    <t>Innkjøpte ikke mottatte varer for videresalg</t>
  </si>
  <si>
    <t>Kundefordringer</t>
  </si>
  <si>
    <t>Oppgjør av betaling - BankAxept</t>
  </si>
  <si>
    <t>Oppgjør av betaling - Forskudd til bankkonto</t>
  </si>
  <si>
    <t>Mellomregning aksjonær/deltaker</t>
  </si>
  <si>
    <t>Mellomregning Anders Ulveseth</t>
  </si>
  <si>
    <t>Andre forskuddsbetalte driftskostnader</t>
  </si>
  <si>
    <t>Mynter og sedler</t>
  </si>
  <si>
    <t>Kassedifferanse</t>
  </si>
  <si>
    <t>Driftskonto SPV 3626.36.30208 (36263630208)</t>
  </si>
  <si>
    <t>04.11.2025</t>
  </si>
  <si>
    <t>Skattetrekkskonto SPV (36263687536)</t>
  </si>
  <si>
    <t>28.02.2025</t>
  </si>
  <si>
    <t>Krypto - Coinbase Commerce (KRYPTO)</t>
  </si>
  <si>
    <t>Eiendeler</t>
  </si>
  <si>
    <t>Aksjekapital / Egenkapital, bundet</t>
  </si>
  <si>
    <t>Annen egenkapital</t>
  </si>
  <si>
    <t>Leverandørgjeld</t>
  </si>
  <si>
    <t>Betalbar skatt, ikke fastsatt</t>
  </si>
  <si>
    <t>Forskuddstrekk (skatt på lønn)</t>
  </si>
  <si>
    <t>Utgående mva, høy sats</t>
  </si>
  <si>
    <t>Utgående mva, kjøp tjenester fra utlandet</t>
  </si>
  <si>
    <t>Utgående mva, middels sats</t>
  </si>
  <si>
    <t>Inngående mva, høy sats</t>
  </si>
  <si>
    <t>Inngående mva, kjøp tjenester fra utlandet</t>
  </si>
  <si>
    <t>Inngående mva, lav sats</t>
  </si>
  <si>
    <t>Oppgjørskonto mva (gjeld)</t>
  </si>
  <si>
    <t>Skyldig arbeidsgiveravgift</t>
  </si>
  <si>
    <t>Påløpt arbeidsgiveravgift ferielønn</t>
  </si>
  <si>
    <t>Andre offentlige avgifter</t>
  </si>
  <si>
    <t>Gjeld til eiere kortsiktig</t>
  </si>
  <si>
    <t>Gjeld til eiere - Anders</t>
  </si>
  <si>
    <t>Skyldig lønn</t>
  </si>
  <si>
    <t>Skyldige feriepenger</t>
  </si>
  <si>
    <t>Egenkapital og gjeld</t>
  </si>
  <si>
    <t>Salgsinntekt varer, høy mva-sats</t>
  </si>
  <si>
    <t>Salgsinntekt varer, middels mva-sats</t>
  </si>
  <si>
    <t>Råvarer og halvfabrikata</t>
  </si>
  <si>
    <t>Frakt og toll ved mottak av råvarer og halvfabrikata</t>
  </si>
  <si>
    <t>Varer for videresalg</t>
  </si>
  <si>
    <t>Varer for videresalg, middels mva-sats</t>
  </si>
  <si>
    <t>Frakt og toll ved mottak av varer for videresalg</t>
  </si>
  <si>
    <t>Varekostnad</t>
  </si>
  <si>
    <t>Lønn til ansatte</t>
  </si>
  <si>
    <t>Feriepenger</t>
  </si>
  <si>
    <t>Arbeidsgiveravgift</t>
  </si>
  <si>
    <t>Arbeidsgiveravgift av påløpte feriepenger</t>
  </si>
  <si>
    <t>Overtidsmat</t>
  </si>
  <si>
    <t>Obligatorisk tjenestepensjon (OTP)</t>
  </si>
  <si>
    <t>Lønnskostnad</t>
  </si>
  <si>
    <t>Frakt, transportkostnad og forsikring ved utsending av varer</t>
  </si>
  <si>
    <t>Leie lokale</t>
  </si>
  <si>
    <t>Leie datasystemer</t>
  </si>
  <si>
    <t>Leie og leasing av transportmidler</t>
  </si>
  <si>
    <t>Verktøy og utstyr</t>
  </si>
  <si>
    <t>Møbler, interiør og annet inventar</t>
  </si>
  <si>
    <t>Data, telefon og andre kontormaskiner</t>
  </si>
  <si>
    <t>Programvare</t>
  </si>
  <si>
    <t>Bedriftens forbruksmateriell (ikke kontorrekvisita)</t>
  </si>
  <si>
    <t>Annet driftsmateriale</t>
  </si>
  <si>
    <t>Regnskapshonorar</t>
  </si>
  <si>
    <t>Kontorrekvisita</t>
  </si>
  <si>
    <t>Telefon- og mobilabonnement</t>
  </si>
  <si>
    <t>Internett og annen data- og telekommunikasjon</t>
  </si>
  <si>
    <t>Annen driftskostnad, av- og nedskrivning</t>
  </si>
  <si>
    <t>Reisekostnad fra faktura eller kvittering</t>
  </si>
  <si>
    <t>Reklamekostnad</t>
  </si>
  <si>
    <t>Øreavrunding</t>
  </si>
  <si>
    <t>Bank- og kortgebyr</t>
  </si>
  <si>
    <t>Innløsergebyr ved innbetaling fra kunder</t>
  </si>
  <si>
    <t>Annen kostnad med skattefradrag</t>
  </si>
  <si>
    <t>Renteinntekt bankinnskudd</t>
  </si>
  <si>
    <t>Valutagevinst (agio)</t>
  </si>
  <si>
    <t>Rentekostnad, uten skattefradrag</t>
  </si>
  <si>
    <t>Rentekostnad leverandørgjeld</t>
  </si>
  <si>
    <t>Annen rentekostnad</t>
  </si>
  <si>
    <t>Valutatap (disagio)</t>
  </si>
  <si>
    <t>Betalbar skatt, for mye/lite avsatt tidligere år på ordinært resultat</t>
  </si>
  <si>
    <t>Finansinntekt og finanskostnad, ekstraordinære poster</t>
  </si>
  <si>
    <t>Driftsinntekter</t>
  </si>
  <si>
    <t>Denne perioden</t>
  </si>
  <si>
    <t>Forrige periode</t>
  </si>
  <si>
    <t>Jan. 2025</t>
  </si>
  <si>
    <t>Feb. 2025</t>
  </si>
  <si>
    <t>Mars 2025</t>
  </si>
  <si>
    <t>April 2025</t>
  </si>
  <si>
    <t>Mai 2025</t>
  </si>
  <si>
    <t>Juni 2025</t>
  </si>
  <si>
    <t>Juli 2025</t>
  </si>
  <si>
    <t>Aug. 2025</t>
  </si>
  <si>
    <t>Sep. 2025</t>
  </si>
  <si>
    <t>Okt. 2025</t>
  </si>
  <si>
    <t>69 %</t>
  </si>
  <si>
    <t>2824 %</t>
  </si>
  <si>
    <t>Salgsinntekt varer, fritatt for mva</t>
  </si>
  <si>
    <t>-100 %</t>
  </si>
  <si>
    <t>Annen driftsrelatert inntekt</t>
  </si>
  <si>
    <t>Sum driftsinntekter</t>
  </si>
  <si>
    <t>72 %</t>
  </si>
  <si>
    <t>Driftskostnader</t>
  </si>
  <si>
    <t>-</t>
  </si>
  <si>
    <t>-2042 %</t>
  </si>
  <si>
    <t>-131 %</t>
  </si>
  <si>
    <t>4,9 %</t>
  </si>
  <si>
    <t>73 %</t>
  </si>
  <si>
    <t>Endring i varer for videresalg (kun varetelling)</t>
  </si>
  <si>
    <t>Innleid arbeidskraft, fremmedytelse og underentreprenør</t>
  </si>
  <si>
    <t>100 %</t>
  </si>
  <si>
    <t>Annen personalkostnad, med skattefradrag</t>
  </si>
  <si>
    <t>-145 %</t>
  </si>
  <si>
    <t>-9,0 %</t>
  </si>
  <si>
    <t>Strøm og oppvarming av lokaler</t>
  </si>
  <si>
    <t>Renhold av lokaler</t>
  </si>
  <si>
    <t>Annen kostnad lokaler</t>
  </si>
  <si>
    <t>-55 %</t>
  </si>
  <si>
    <t>-445 %</t>
  </si>
  <si>
    <t>-104 %</t>
  </si>
  <si>
    <t>-105 %</t>
  </si>
  <si>
    <t>Programvare anskaffelse</t>
  </si>
  <si>
    <t>-40 %</t>
  </si>
  <si>
    <t>-30 %</t>
  </si>
  <si>
    <t>Advokat og juridisk bistand, med skattefradrag</t>
  </si>
  <si>
    <t>19 %</t>
  </si>
  <si>
    <t>Møte, kurs, oppdatering o.l., med skattefradrag</t>
  </si>
  <si>
    <t>11 %</t>
  </si>
  <si>
    <t>Reisegodtgjørelse, etter satser (opplysningspliktig)</t>
  </si>
  <si>
    <t>81 %</t>
  </si>
  <si>
    <t>15 %</t>
  </si>
  <si>
    <t>Annen reklamekostnad</t>
  </si>
  <si>
    <t>Styremøte, generalforsamling og bedriftsforsamlingsmøter</t>
  </si>
  <si>
    <t>128 %</t>
  </si>
  <si>
    <t>14 %</t>
  </si>
  <si>
    <t>Sum driftskostnader</t>
  </si>
  <si>
    <t>-103 %</t>
  </si>
  <si>
    <t>Driftsresultat</t>
  </si>
  <si>
    <t>Sum driftsresultat</t>
  </si>
  <si>
    <t>-138 %</t>
  </si>
  <si>
    <t>16151 %</t>
  </si>
  <si>
    <t>-45 %</t>
  </si>
  <si>
    <t>-183 %</t>
  </si>
  <si>
    <t>Sum finansinntekt og finanskostnad, ekstraordinære poster</t>
  </si>
  <si>
    <t>-904 %</t>
  </si>
  <si>
    <t>Resultat</t>
  </si>
  <si>
    <t>Sum resultat</t>
  </si>
  <si>
    <t>-180 %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</si>
</sst>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r&quot;\ * #,##0.00_-;\-&quot;kr&quot;\ * #,##0.00_-;_-&quot;kr&quot;\ * &quot;-&quot;??_-;_-@_-"/>
    <numFmt numFmtId="164" formatCode="#\ ###\ ##0.00"/>
  </numFmts>
  <fonts count="3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44" fontId="2" fillId="0" borderId="1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44" fontId="1" fillId="0" borderId="1" xfId="0" applyNumberFormat="1" applyFont="1" applyBorder="1"/>
    <xf numFmtId="44" fontId="0" fillId="0" borderId="0" xfId="0" applyNumberFormat="1"/>
    <xf numFmtId="44" fontId="1" fillId="2" borderId="1" xfId="0" applyNumberFormat="1" applyFont="1" applyFill="1" applyBorder="1"/>
    <xf numFmtId="44" fontId="0" fillId="0" borderId="1" xfId="0" applyNumberFormat="1" applyBorder="1"/>
    <xf numFmtId="44" fontId="1" fillId="0" borderId="1" xfId="0" applyNumberFormat="1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1EF1-E907-4FA9-8E14-2117761945CD}">
  <dimension ref="A1:P69"/>
  <sheetViews>
    <sheetView tabSelected="1" workbookViewId="0">
      <selection activeCell="B15" sqref="B15"/>
    </sheetView>
  </sheetViews>
  <sheetFormatPr baseColWidth="10" defaultRowHeight="15" x14ac:dyDescent="0.25"/>
  <cols>
    <col min="1" max="1" width="6" customWidth="1"/>
    <col min="2" max="2" width="54" bestFit="1" customWidth="1"/>
    <col min="3" max="4" width="14.42578125" bestFit="1" customWidth="1"/>
    <col min="5" max="5" width="13" bestFit="1" customWidth="1"/>
    <col min="6" max="6" width="7.7109375" bestFit="1" customWidth="1"/>
    <col min="7" max="7" width="13.5703125" style="18" bestFit="1" customWidth="1"/>
    <col min="8" max="8" width="13" style="18" bestFit="1" customWidth="1"/>
    <col min="9" max="9" width="13.5703125" style="18" bestFit="1" customWidth="1"/>
    <col min="10" max="10" width="13" style="18" bestFit="1" customWidth="1"/>
    <col min="11" max="11" width="13.5703125" style="18" bestFit="1" customWidth="1"/>
    <col min="12" max="14" width="13" style="18" bestFit="1" customWidth="1"/>
    <col min="15" max="15" width="13.5703125" style="18" bestFit="1" customWidth="1"/>
    <col min="16" max="16" width="13" style="18" bestFit="1" customWidth="1"/>
  </cols>
  <sheetData>
    <row r="1" spans="1:16" x14ac:dyDescent="0.25">
      <c r="C1" s="22">
        <f>C69</f>
        <v>-131418.78</v>
      </c>
      <c r="D1" s="22">
        <f t="shared" ref="D1:E1" si="0">D69</f>
        <v>163670.95000000001</v>
      </c>
      <c r="E1" s="22">
        <f t="shared" si="0"/>
        <v>-295089.73</v>
      </c>
      <c r="F1" s="2"/>
      <c r="G1" s="20">
        <f>G69</f>
        <v>-118971.89</v>
      </c>
      <c r="H1" s="20">
        <f t="shared" ref="H1:P1" si="1">H69</f>
        <v>-78281.13</v>
      </c>
      <c r="I1" s="20">
        <f t="shared" si="1"/>
        <v>-113727.82</v>
      </c>
      <c r="J1" s="20">
        <f t="shared" si="1"/>
        <v>-36791.21</v>
      </c>
      <c r="K1" s="20">
        <f t="shared" si="1"/>
        <v>108670.64</v>
      </c>
      <c r="L1" s="20">
        <f t="shared" si="1"/>
        <v>83292.58</v>
      </c>
      <c r="M1" s="20">
        <f t="shared" si="1"/>
        <v>-80501.03</v>
      </c>
      <c r="N1" s="20">
        <f t="shared" si="1"/>
        <v>16169.23</v>
      </c>
      <c r="O1" s="20">
        <f t="shared" si="1"/>
        <v>109422.6</v>
      </c>
      <c r="P1" s="20">
        <f t="shared" si="1"/>
        <v>-20700.75</v>
      </c>
    </row>
    <row r="3" spans="1:16" x14ac:dyDescent="0.25">
      <c r="A3" s="15" t="s">
        <v>88</v>
      </c>
      <c r="B3" s="16"/>
      <c r="C3" s="6" t="s">
        <v>89</v>
      </c>
      <c r="D3" s="6" t="s">
        <v>90</v>
      </c>
      <c r="E3" s="15" t="s">
        <v>3</v>
      </c>
      <c r="F3" s="16"/>
      <c r="G3" s="19" t="s">
        <v>91</v>
      </c>
      <c r="H3" s="19" t="s">
        <v>92</v>
      </c>
      <c r="I3" s="19" t="s">
        <v>93</v>
      </c>
      <c r="J3" s="19" t="s">
        <v>94</v>
      </c>
      <c r="K3" s="19" t="s">
        <v>95</v>
      </c>
      <c r="L3" s="19" t="s">
        <v>96</v>
      </c>
      <c r="M3" s="19" t="s">
        <v>97</v>
      </c>
      <c r="N3" s="19" t="s">
        <v>98</v>
      </c>
      <c r="O3" s="19" t="s">
        <v>99</v>
      </c>
      <c r="P3" s="19" t="s">
        <v>100</v>
      </c>
    </row>
    <row r="4" spans="1:16" x14ac:dyDescent="0.25">
      <c r="A4" s="8">
        <v>3000</v>
      </c>
      <c r="B4" s="3" t="s">
        <v>44</v>
      </c>
      <c r="C4" s="5">
        <v>2194421.58</v>
      </c>
      <c r="D4" s="5">
        <v>1296070.3600000001</v>
      </c>
      <c r="E4" s="5">
        <v>898351.22</v>
      </c>
      <c r="F4" s="3" t="s">
        <v>101</v>
      </c>
      <c r="G4" s="5">
        <v>176824.32000000001</v>
      </c>
      <c r="H4" s="5">
        <v>193484.3</v>
      </c>
      <c r="I4" s="5">
        <v>249052.02</v>
      </c>
      <c r="J4" s="5">
        <v>157169.24</v>
      </c>
      <c r="K4" s="5">
        <v>237588.96</v>
      </c>
      <c r="L4" s="5">
        <v>333230</v>
      </c>
      <c r="M4" s="5">
        <v>232539.51</v>
      </c>
      <c r="N4" s="5">
        <v>207568.97</v>
      </c>
      <c r="O4" s="5">
        <v>221153.58</v>
      </c>
      <c r="P4" s="5">
        <v>185810.68</v>
      </c>
    </row>
    <row r="5" spans="1:16" x14ac:dyDescent="0.25">
      <c r="A5" s="8">
        <v>3030</v>
      </c>
      <c r="B5" s="3" t="s">
        <v>45</v>
      </c>
      <c r="C5" s="5">
        <v>32330.6</v>
      </c>
      <c r="D5" s="5">
        <v>1105.6500000000001</v>
      </c>
      <c r="E5" s="5">
        <v>31224.95</v>
      </c>
      <c r="F5" s="3" t="s">
        <v>102</v>
      </c>
      <c r="G5" s="5">
        <v>164.59</v>
      </c>
      <c r="H5" s="5">
        <v>0</v>
      </c>
      <c r="I5" s="5">
        <v>0</v>
      </c>
      <c r="J5" s="5">
        <v>2757.26</v>
      </c>
      <c r="K5" s="5">
        <v>1730.93</v>
      </c>
      <c r="L5" s="5">
        <v>2383.0500000000002</v>
      </c>
      <c r="M5" s="5">
        <v>5470.84</v>
      </c>
      <c r="N5" s="5">
        <v>6174.51</v>
      </c>
      <c r="O5" s="5">
        <v>5477.7</v>
      </c>
      <c r="P5" s="5">
        <v>8171.72</v>
      </c>
    </row>
    <row r="6" spans="1:16" x14ac:dyDescent="0.25">
      <c r="A6" s="8">
        <v>3100</v>
      </c>
      <c r="B6" s="3" t="s">
        <v>103</v>
      </c>
      <c r="C6" s="5">
        <v>0</v>
      </c>
      <c r="D6" s="5">
        <v>420</v>
      </c>
      <c r="E6" s="5">
        <v>-420</v>
      </c>
      <c r="F6" s="3" t="s">
        <v>104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8">
        <v>3900</v>
      </c>
      <c r="B7" s="3" t="s">
        <v>105</v>
      </c>
      <c r="C7" s="5">
        <v>0</v>
      </c>
      <c r="D7" s="5">
        <v>61</v>
      </c>
      <c r="E7" s="5">
        <v>-61</v>
      </c>
      <c r="F7" s="3" t="s">
        <v>104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11" t="s">
        <v>106</v>
      </c>
      <c r="B8" s="12"/>
      <c r="C8" s="17">
        <v>2226752.1800000002</v>
      </c>
      <c r="D8" s="17">
        <v>1297657.01</v>
      </c>
      <c r="E8" s="17">
        <v>929095.17</v>
      </c>
      <c r="F8" s="1" t="s">
        <v>107</v>
      </c>
      <c r="G8" s="17">
        <v>176988.91</v>
      </c>
      <c r="H8" s="17">
        <v>193484.3</v>
      </c>
      <c r="I8" s="17">
        <v>249052.02</v>
      </c>
      <c r="J8" s="17">
        <v>159926.5</v>
      </c>
      <c r="K8" s="17">
        <v>239319.89</v>
      </c>
      <c r="L8" s="17">
        <v>335613.05</v>
      </c>
      <c r="M8" s="17">
        <v>238010.35</v>
      </c>
      <c r="N8" s="17">
        <v>213743.48</v>
      </c>
      <c r="O8" s="17">
        <v>226631.28</v>
      </c>
      <c r="P8" s="17">
        <v>193982.4</v>
      </c>
    </row>
    <row r="9" spans="1:16" x14ac:dyDescent="0.25">
      <c r="A9" s="11" t="s">
        <v>108</v>
      </c>
      <c r="B9" s="12"/>
      <c r="C9" s="1" t="s">
        <v>89</v>
      </c>
      <c r="D9" s="1" t="s">
        <v>90</v>
      </c>
      <c r="E9" s="11" t="s">
        <v>3</v>
      </c>
      <c r="F9" s="12"/>
      <c r="G9" s="21" t="s">
        <v>91</v>
      </c>
      <c r="H9" s="21" t="s">
        <v>92</v>
      </c>
      <c r="I9" s="21" t="s">
        <v>93</v>
      </c>
      <c r="J9" s="21" t="s">
        <v>94</v>
      </c>
      <c r="K9" s="21" t="s">
        <v>95</v>
      </c>
      <c r="L9" s="21" t="s">
        <v>96</v>
      </c>
      <c r="M9" s="21" t="s">
        <v>97</v>
      </c>
      <c r="N9" s="21" t="s">
        <v>98</v>
      </c>
      <c r="O9" s="21" t="s">
        <v>99</v>
      </c>
      <c r="P9" s="21" t="s">
        <v>100</v>
      </c>
    </row>
    <row r="10" spans="1:16" x14ac:dyDescent="0.25">
      <c r="A10" s="8">
        <v>4000</v>
      </c>
      <c r="B10" s="3" t="s">
        <v>46</v>
      </c>
      <c r="C10" s="5">
        <v>-961.96</v>
      </c>
      <c r="D10" s="5">
        <v>0</v>
      </c>
      <c r="E10" s="4">
        <v>-961.96</v>
      </c>
      <c r="F10" s="3" t="s">
        <v>109</v>
      </c>
      <c r="G10" s="5">
        <v>0</v>
      </c>
      <c r="H10" s="5">
        <v>0</v>
      </c>
      <c r="I10" s="5">
        <v>-119.99</v>
      </c>
      <c r="J10" s="5">
        <v>0</v>
      </c>
      <c r="K10" s="5">
        <v>0</v>
      </c>
      <c r="L10" s="5">
        <v>-841.97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8">
        <v>4060</v>
      </c>
      <c r="B11" s="3" t="s">
        <v>47</v>
      </c>
      <c r="C11" s="5">
        <v>-12700.38</v>
      </c>
      <c r="D11" s="5">
        <v>-593</v>
      </c>
      <c r="E11" s="4">
        <v>-12107.38</v>
      </c>
      <c r="F11" s="3" t="s">
        <v>110</v>
      </c>
      <c r="G11" s="5">
        <v>0</v>
      </c>
      <c r="H11" s="5">
        <v>-2567</v>
      </c>
      <c r="I11" s="5">
        <v>-1555.19</v>
      </c>
      <c r="J11" s="5">
        <v>-1568.19</v>
      </c>
      <c r="K11" s="5">
        <v>-5134</v>
      </c>
      <c r="L11" s="5">
        <v>0</v>
      </c>
      <c r="M11" s="5">
        <v>-1482</v>
      </c>
      <c r="N11" s="5">
        <v>-407.2</v>
      </c>
      <c r="O11" s="5">
        <v>13.2</v>
      </c>
      <c r="P11" s="5">
        <v>0</v>
      </c>
    </row>
    <row r="12" spans="1:16" x14ac:dyDescent="0.25">
      <c r="A12" s="8">
        <v>4300</v>
      </c>
      <c r="B12" s="3" t="s">
        <v>48</v>
      </c>
      <c r="C12" s="5">
        <v>-1690549.49</v>
      </c>
      <c r="D12" s="5">
        <v>-733295.57</v>
      </c>
      <c r="E12" s="4">
        <v>-957253.92</v>
      </c>
      <c r="F12" s="3" t="s">
        <v>111</v>
      </c>
      <c r="G12" s="5">
        <v>-175647.18</v>
      </c>
      <c r="H12" s="5">
        <v>-219345.63</v>
      </c>
      <c r="I12" s="5">
        <v>-301878.43</v>
      </c>
      <c r="J12" s="5">
        <v>-101247.97</v>
      </c>
      <c r="K12" s="5">
        <v>-94213.6</v>
      </c>
      <c r="L12" s="5">
        <v>-223166.75</v>
      </c>
      <c r="M12" s="5">
        <v>-188429.21</v>
      </c>
      <c r="N12" s="5">
        <v>-139584.79999999999</v>
      </c>
      <c r="O12" s="5">
        <v>-72454.47</v>
      </c>
      <c r="P12" s="5">
        <v>-174581.45</v>
      </c>
    </row>
    <row r="13" spans="1:16" x14ac:dyDescent="0.25">
      <c r="A13" s="8">
        <v>4330</v>
      </c>
      <c r="B13" s="3" t="s">
        <v>49</v>
      </c>
      <c r="C13" s="5">
        <v>-7860.01</v>
      </c>
      <c r="D13" s="5">
        <v>-8268.56</v>
      </c>
      <c r="E13" s="4">
        <v>408.55</v>
      </c>
      <c r="F13" s="3" t="s">
        <v>112</v>
      </c>
      <c r="G13" s="5">
        <v>0</v>
      </c>
      <c r="H13" s="5">
        <v>0</v>
      </c>
      <c r="I13" s="5">
        <v>0</v>
      </c>
      <c r="J13" s="5">
        <v>-7860.01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8">
        <v>4360</v>
      </c>
      <c r="B14" s="3" t="s">
        <v>50</v>
      </c>
      <c r="C14" s="5">
        <v>-21018.15</v>
      </c>
      <c r="D14" s="5">
        <v>-78725.91</v>
      </c>
      <c r="E14" s="4">
        <v>57707.76</v>
      </c>
      <c r="F14" s="3" t="s">
        <v>113</v>
      </c>
      <c r="G14" s="5">
        <v>-3369.5</v>
      </c>
      <c r="H14" s="5">
        <v>-280.39999999999998</v>
      </c>
      <c r="I14" s="5">
        <v>-2241</v>
      </c>
      <c r="J14" s="5">
        <v>-4194.8500000000004</v>
      </c>
      <c r="K14" s="5">
        <v>-2208.8000000000002</v>
      </c>
      <c r="L14" s="5">
        <v>-497</v>
      </c>
      <c r="M14" s="5">
        <v>-1991.2</v>
      </c>
      <c r="N14" s="5">
        <v>-5841</v>
      </c>
      <c r="O14" s="5">
        <v>-148.4</v>
      </c>
      <c r="P14" s="5">
        <v>-246</v>
      </c>
    </row>
    <row r="15" spans="1:16" x14ac:dyDescent="0.25">
      <c r="A15" s="8">
        <v>4390</v>
      </c>
      <c r="B15" s="3" t="s">
        <v>114</v>
      </c>
      <c r="C15" s="5">
        <v>0</v>
      </c>
      <c r="D15" s="5">
        <v>105353</v>
      </c>
      <c r="E15" s="4">
        <v>-105353</v>
      </c>
      <c r="F15" s="3" t="s">
        <v>104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8">
        <v>4500</v>
      </c>
      <c r="B16" s="3" t="s">
        <v>115</v>
      </c>
      <c r="C16" s="5">
        <v>0</v>
      </c>
      <c r="D16" s="5">
        <v>-4500</v>
      </c>
      <c r="E16" s="4">
        <v>4500</v>
      </c>
      <c r="F16" s="3" t="s">
        <v>116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8">
        <v>5001</v>
      </c>
      <c r="B17" s="3" t="s">
        <v>52</v>
      </c>
      <c r="C17" s="5">
        <v>-141140</v>
      </c>
      <c r="D17" s="5">
        <v>0</v>
      </c>
      <c r="E17" s="4">
        <v>-141140</v>
      </c>
      <c r="F17" s="3" t="s">
        <v>109</v>
      </c>
      <c r="G17" s="5">
        <v>-6500</v>
      </c>
      <c r="H17" s="5">
        <v>-24000</v>
      </c>
      <c r="I17" s="5">
        <v>-13500</v>
      </c>
      <c r="J17" s="5">
        <v>-11500</v>
      </c>
      <c r="K17" s="5">
        <v>-12900</v>
      </c>
      <c r="L17" s="5">
        <v>-10240</v>
      </c>
      <c r="M17" s="5">
        <v>-17700</v>
      </c>
      <c r="N17" s="5">
        <v>-13100</v>
      </c>
      <c r="O17" s="5">
        <v>-16400</v>
      </c>
      <c r="P17" s="5">
        <v>-15300</v>
      </c>
    </row>
    <row r="18" spans="1:16" x14ac:dyDescent="0.25">
      <c r="A18" s="8">
        <v>5092</v>
      </c>
      <c r="B18" s="3" t="s">
        <v>53</v>
      </c>
      <c r="C18" s="5">
        <v>-14396.28</v>
      </c>
      <c r="D18" s="5">
        <v>0</v>
      </c>
      <c r="E18" s="4">
        <v>-14396.28</v>
      </c>
      <c r="F18" s="3" t="s">
        <v>109</v>
      </c>
      <c r="G18" s="5">
        <v>-663</v>
      </c>
      <c r="H18" s="5">
        <v>-2448</v>
      </c>
      <c r="I18" s="5">
        <v>-1377</v>
      </c>
      <c r="J18" s="5">
        <v>-1173</v>
      </c>
      <c r="K18" s="5">
        <v>-1315.8</v>
      </c>
      <c r="L18" s="5">
        <v>-1044.48</v>
      </c>
      <c r="M18" s="5">
        <v>-1805.4</v>
      </c>
      <c r="N18" s="5">
        <v>-1336.2</v>
      </c>
      <c r="O18" s="5">
        <v>-1672.8</v>
      </c>
      <c r="P18" s="5">
        <v>-1560.6</v>
      </c>
    </row>
    <row r="19" spans="1:16" x14ac:dyDescent="0.25">
      <c r="A19" s="8">
        <v>5401</v>
      </c>
      <c r="B19" s="3" t="s">
        <v>54</v>
      </c>
      <c r="C19" s="5">
        <v>-20250.14</v>
      </c>
      <c r="D19" s="5">
        <v>0</v>
      </c>
      <c r="E19" s="4">
        <v>-20250.14</v>
      </c>
      <c r="F19" s="3" t="s">
        <v>109</v>
      </c>
      <c r="G19" s="5">
        <v>-916.5</v>
      </c>
      <c r="H19" s="5">
        <v>-3384</v>
      </c>
      <c r="I19" s="5">
        <v>-1903.5</v>
      </c>
      <c r="J19" s="5">
        <v>-1621.5</v>
      </c>
      <c r="K19" s="5">
        <v>-1818.9</v>
      </c>
      <c r="L19" s="5">
        <v>-1443.84</v>
      </c>
      <c r="M19" s="5">
        <v>-2550.83</v>
      </c>
      <c r="N19" s="5">
        <v>-1953.14</v>
      </c>
      <c r="O19" s="5">
        <v>-2439.7199999999998</v>
      </c>
      <c r="P19" s="5">
        <v>-2218.21</v>
      </c>
    </row>
    <row r="20" spans="1:16" x14ac:dyDescent="0.25">
      <c r="A20" s="8">
        <v>5405</v>
      </c>
      <c r="B20" s="3" t="s">
        <v>55</v>
      </c>
      <c r="C20" s="5">
        <v>-2029.87</v>
      </c>
      <c r="D20" s="5">
        <v>0</v>
      </c>
      <c r="E20" s="4">
        <v>-2029.87</v>
      </c>
      <c r="F20" s="3" t="s">
        <v>109</v>
      </c>
      <c r="G20" s="5">
        <v>-93.48</v>
      </c>
      <c r="H20" s="5">
        <v>-345.17</v>
      </c>
      <c r="I20" s="5">
        <v>-194.16</v>
      </c>
      <c r="J20" s="5">
        <v>-165.39</v>
      </c>
      <c r="K20" s="5">
        <v>-185.53</v>
      </c>
      <c r="L20" s="5">
        <v>-147.27000000000001</v>
      </c>
      <c r="M20" s="5">
        <v>-254.56</v>
      </c>
      <c r="N20" s="5">
        <v>-188.41</v>
      </c>
      <c r="O20" s="5">
        <v>-235.86</v>
      </c>
      <c r="P20" s="5">
        <v>-220.04</v>
      </c>
    </row>
    <row r="21" spans="1:16" x14ac:dyDescent="0.25">
      <c r="A21" s="8">
        <v>5915</v>
      </c>
      <c r="B21" s="3" t="s">
        <v>56</v>
      </c>
      <c r="C21" s="5">
        <v>-54</v>
      </c>
      <c r="D21" s="5">
        <v>0</v>
      </c>
      <c r="E21" s="4">
        <v>-54</v>
      </c>
      <c r="F21" s="3" t="s">
        <v>109</v>
      </c>
      <c r="G21" s="5">
        <v>0</v>
      </c>
      <c r="H21" s="5">
        <v>0</v>
      </c>
      <c r="I21" s="5">
        <v>0</v>
      </c>
      <c r="J21" s="5">
        <v>0</v>
      </c>
      <c r="K21" s="5">
        <v>-54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8">
        <v>5950</v>
      </c>
      <c r="B22" s="3" t="s">
        <v>57</v>
      </c>
      <c r="C22" s="5">
        <v>-3000</v>
      </c>
      <c r="D22" s="5">
        <v>0</v>
      </c>
      <c r="E22" s="4">
        <v>-3000</v>
      </c>
      <c r="F22" s="3" t="s">
        <v>109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-391</v>
      </c>
      <c r="M22" s="5">
        <v>-752</v>
      </c>
      <c r="N22" s="5">
        <v>-542</v>
      </c>
      <c r="O22" s="5">
        <v>-793</v>
      </c>
      <c r="P22" s="5">
        <v>-522</v>
      </c>
    </row>
    <row r="23" spans="1:16" x14ac:dyDescent="0.25">
      <c r="A23" s="8">
        <v>5990</v>
      </c>
      <c r="B23" s="3" t="s">
        <v>117</v>
      </c>
      <c r="C23" s="5">
        <v>0</v>
      </c>
      <c r="D23" s="5">
        <v>-435.37</v>
      </c>
      <c r="E23" s="4">
        <v>435.37</v>
      </c>
      <c r="F23" s="3" t="s">
        <v>116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8">
        <v>6100</v>
      </c>
      <c r="B24" s="3" t="s">
        <v>59</v>
      </c>
      <c r="C24" s="5">
        <v>-68102.39</v>
      </c>
      <c r="D24" s="5">
        <v>-27799.37</v>
      </c>
      <c r="E24" s="4">
        <v>-40303.019999999997</v>
      </c>
      <c r="F24" s="3" t="s">
        <v>118</v>
      </c>
      <c r="G24" s="5">
        <v>-7245.96</v>
      </c>
      <c r="H24" s="5">
        <v>-4046.02</v>
      </c>
      <c r="I24" s="5">
        <v>-8082.17</v>
      </c>
      <c r="J24" s="5">
        <v>-5340.69</v>
      </c>
      <c r="K24" s="5">
        <v>-5735.82</v>
      </c>
      <c r="L24" s="5">
        <v>-7639.89</v>
      </c>
      <c r="M24" s="5">
        <v>-7673.33</v>
      </c>
      <c r="N24" s="5">
        <v>-6949.07</v>
      </c>
      <c r="O24" s="5">
        <v>-8449.2900000000009</v>
      </c>
      <c r="P24" s="5">
        <v>-6940.15</v>
      </c>
    </row>
    <row r="25" spans="1:16" x14ac:dyDescent="0.25">
      <c r="A25" s="8">
        <v>6300</v>
      </c>
      <c r="B25" s="3" t="s">
        <v>60</v>
      </c>
      <c r="C25" s="5">
        <v>-170274.53</v>
      </c>
      <c r="D25" s="5">
        <v>-156189.20000000001</v>
      </c>
      <c r="E25" s="4">
        <v>-14085.33</v>
      </c>
      <c r="F25" s="3" t="s">
        <v>119</v>
      </c>
      <c r="G25" s="5">
        <v>-38052</v>
      </c>
      <c r="H25" s="5">
        <v>0</v>
      </c>
      <c r="I25" s="5">
        <v>-5884.05</v>
      </c>
      <c r="J25" s="5">
        <v>-38052</v>
      </c>
      <c r="K25" s="5">
        <v>0</v>
      </c>
      <c r="L25" s="5">
        <v>0</v>
      </c>
      <c r="M25" s="5">
        <v>-41766.5</v>
      </c>
      <c r="N25" s="5">
        <v>-8467.98</v>
      </c>
      <c r="O25" s="5">
        <v>0</v>
      </c>
      <c r="P25" s="5">
        <v>-38052</v>
      </c>
    </row>
    <row r="26" spans="1:16" x14ac:dyDescent="0.25">
      <c r="A26" s="8">
        <v>6341</v>
      </c>
      <c r="B26" s="3" t="s">
        <v>120</v>
      </c>
      <c r="C26" s="5">
        <v>0</v>
      </c>
      <c r="D26" s="5">
        <v>-12132</v>
      </c>
      <c r="E26" s="4">
        <v>12132</v>
      </c>
      <c r="F26" s="3" t="s">
        <v>116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8">
        <v>6360</v>
      </c>
      <c r="B27" s="3" t="s">
        <v>121</v>
      </c>
      <c r="C27" s="5">
        <v>0</v>
      </c>
      <c r="D27" s="5">
        <v>-242.16</v>
      </c>
      <c r="E27" s="4">
        <v>242.16</v>
      </c>
      <c r="F27" s="3" t="s">
        <v>116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8">
        <v>6399</v>
      </c>
      <c r="B28" s="3" t="s">
        <v>122</v>
      </c>
      <c r="C28" s="5">
        <v>0</v>
      </c>
      <c r="D28" s="5">
        <v>-2904.8</v>
      </c>
      <c r="E28" s="4">
        <v>2904.8</v>
      </c>
      <c r="F28" s="3" t="s">
        <v>116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8">
        <v>6420</v>
      </c>
      <c r="B29" s="3" t="s">
        <v>61</v>
      </c>
      <c r="C29" s="5">
        <v>-8502.43</v>
      </c>
      <c r="D29" s="5">
        <v>-5471.03</v>
      </c>
      <c r="E29" s="4">
        <v>-3031.4</v>
      </c>
      <c r="F29" s="3" t="s">
        <v>123</v>
      </c>
      <c r="G29" s="5">
        <v>-1050.9000000000001</v>
      </c>
      <c r="H29" s="5">
        <v>-798</v>
      </c>
      <c r="I29" s="5">
        <v>-399</v>
      </c>
      <c r="J29" s="5">
        <v>-399</v>
      </c>
      <c r="K29" s="5">
        <v>-792.06</v>
      </c>
      <c r="L29" s="5">
        <v>-758.04</v>
      </c>
      <c r="M29" s="5">
        <v>-901.11</v>
      </c>
      <c r="N29" s="5">
        <v>-908.8</v>
      </c>
      <c r="O29" s="5">
        <v>-1255.58</v>
      </c>
      <c r="P29" s="5">
        <v>-1239.94</v>
      </c>
    </row>
    <row r="30" spans="1:16" x14ac:dyDescent="0.25">
      <c r="A30" s="8">
        <v>6440</v>
      </c>
      <c r="B30" s="3" t="s">
        <v>62</v>
      </c>
      <c r="C30" s="5">
        <v>-11403.11</v>
      </c>
      <c r="D30" s="5">
        <v>-2090.5</v>
      </c>
      <c r="E30" s="4">
        <v>-9312.61</v>
      </c>
      <c r="F30" s="3" t="s">
        <v>124</v>
      </c>
      <c r="G30" s="5">
        <v>-262.22000000000003</v>
      </c>
      <c r="H30" s="5">
        <v>-1110.81</v>
      </c>
      <c r="I30" s="5">
        <v>-2799.38</v>
      </c>
      <c r="J30" s="5">
        <v>-1223.08</v>
      </c>
      <c r="K30" s="5">
        <v>-726.95</v>
      </c>
      <c r="L30" s="5">
        <v>-285.68</v>
      </c>
      <c r="M30" s="5">
        <v>-1583.4</v>
      </c>
      <c r="N30" s="5">
        <v>-238.74</v>
      </c>
      <c r="O30" s="5">
        <v>-2402.56</v>
      </c>
      <c r="P30" s="5">
        <v>-770.29</v>
      </c>
    </row>
    <row r="31" spans="1:16" x14ac:dyDescent="0.25">
      <c r="A31" s="8">
        <v>6500</v>
      </c>
      <c r="B31" s="3" t="s">
        <v>63</v>
      </c>
      <c r="C31" s="5">
        <v>-135.19999999999999</v>
      </c>
      <c r="D31" s="5">
        <v>0</v>
      </c>
      <c r="E31" s="4">
        <v>-135.19999999999999</v>
      </c>
      <c r="F31" s="3" t="s">
        <v>109</v>
      </c>
      <c r="G31" s="5">
        <v>0</v>
      </c>
      <c r="H31" s="5">
        <v>-135.19999999999999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x14ac:dyDescent="0.25">
      <c r="A32" s="8">
        <v>6540</v>
      </c>
      <c r="B32" s="3" t="s">
        <v>64</v>
      </c>
      <c r="C32" s="5">
        <v>-16506.2</v>
      </c>
      <c r="D32" s="5">
        <v>-8085.6</v>
      </c>
      <c r="E32" s="4">
        <v>-8420.6</v>
      </c>
      <c r="F32" s="3" t="s">
        <v>125</v>
      </c>
      <c r="G32" s="5">
        <v>0</v>
      </c>
      <c r="H32" s="5">
        <v>0</v>
      </c>
      <c r="I32" s="5">
        <v>0</v>
      </c>
      <c r="J32" s="5">
        <v>-12447</v>
      </c>
      <c r="K32" s="5">
        <v>0</v>
      </c>
      <c r="L32" s="5">
        <v>0</v>
      </c>
      <c r="M32" s="5">
        <v>-4059.2</v>
      </c>
      <c r="N32" s="5">
        <v>0</v>
      </c>
      <c r="O32" s="5">
        <v>0</v>
      </c>
      <c r="P32" s="5">
        <v>0</v>
      </c>
    </row>
    <row r="33" spans="1:16" x14ac:dyDescent="0.25">
      <c r="A33" s="8">
        <v>6551</v>
      </c>
      <c r="B33" s="3" t="s">
        <v>65</v>
      </c>
      <c r="C33" s="5">
        <v>-12312</v>
      </c>
      <c r="D33" s="5">
        <v>-6000</v>
      </c>
      <c r="E33" s="4">
        <v>-6312</v>
      </c>
      <c r="F33" s="3" t="s">
        <v>126</v>
      </c>
      <c r="G33" s="5">
        <v>0</v>
      </c>
      <c r="H33" s="5">
        <v>0</v>
      </c>
      <c r="I33" s="5">
        <v>-12312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x14ac:dyDescent="0.25">
      <c r="A34" s="8">
        <v>6552</v>
      </c>
      <c r="B34" s="3" t="s">
        <v>127</v>
      </c>
      <c r="C34" s="5">
        <v>0</v>
      </c>
      <c r="D34" s="5">
        <v>-540.62</v>
      </c>
      <c r="E34" s="4">
        <v>540.62</v>
      </c>
      <c r="F34" s="3" t="s">
        <v>116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8">
        <v>6553</v>
      </c>
      <c r="B35" s="3" t="s">
        <v>66</v>
      </c>
      <c r="C35" s="5">
        <v>-10091.59</v>
      </c>
      <c r="D35" s="5">
        <v>-7199.11</v>
      </c>
      <c r="E35" s="4">
        <v>-2892.48</v>
      </c>
      <c r="F35" s="3" t="s">
        <v>128</v>
      </c>
      <c r="G35" s="5">
        <v>-592.89</v>
      </c>
      <c r="H35" s="5">
        <v>-1655.6</v>
      </c>
      <c r="I35" s="5">
        <v>-1669.01</v>
      </c>
      <c r="J35" s="5">
        <v>-1592.97</v>
      </c>
      <c r="K35" s="5">
        <v>-1104.26</v>
      </c>
      <c r="L35" s="5">
        <v>-1256.51</v>
      </c>
      <c r="M35" s="5">
        <v>-1049.26</v>
      </c>
      <c r="N35" s="5">
        <v>-781.29</v>
      </c>
      <c r="O35" s="5">
        <v>-389.8</v>
      </c>
      <c r="P35" s="5">
        <v>0</v>
      </c>
    </row>
    <row r="36" spans="1:16" x14ac:dyDescent="0.25">
      <c r="A36" s="8">
        <v>6560</v>
      </c>
      <c r="B36" s="3" t="s">
        <v>67</v>
      </c>
      <c r="C36" s="5">
        <v>-1028.4000000000001</v>
      </c>
      <c r="D36" s="5">
        <v>0</v>
      </c>
      <c r="E36" s="4">
        <v>-1028.4000000000001</v>
      </c>
      <c r="F36" s="3" t="s">
        <v>109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-1028.4000000000001</v>
      </c>
      <c r="M36" s="5">
        <v>0</v>
      </c>
      <c r="N36" s="5">
        <v>0</v>
      </c>
      <c r="O36" s="5">
        <v>0</v>
      </c>
      <c r="P36" s="5">
        <v>0</v>
      </c>
    </row>
    <row r="37" spans="1:16" x14ac:dyDescent="0.25">
      <c r="A37" s="8">
        <v>6590</v>
      </c>
      <c r="B37" s="3" t="s">
        <v>68</v>
      </c>
      <c r="C37" s="5">
        <v>-485</v>
      </c>
      <c r="D37" s="5">
        <v>0</v>
      </c>
      <c r="E37" s="4">
        <v>-485</v>
      </c>
      <c r="F37" s="3" t="s">
        <v>109</v>
      </c>
      <c r="G37" s="5">
        <v>0</v>
      </c>
      <c r="H37" s="5">
        <v>0</v>
      </c>
      <c r="I37" s="5">
        <v>-485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8">
        <v>6705</v>
      </c>
      <c r="B38" s="3" t="s">
        <v>69</v>
      </c>
      <c r="C38" s="5">
        <v>-4520</v>
      </c>
      <c r="D38" s="5">
        <v>-3472</v>
      </c>
      <c r="E38" s="4">
        <v>-1048</v>
      </c>
      <c r="F38" s="3" t="s">
        <v>129</v>
      </c>
      <c r="G38" s="5">
        <v>0</v>
      </c>
      <c r="H38" s="5">
        <v>-1490</v>
      </c>
      <c r="I38" s="5">
        <v>0</v>
      </c>
      <c r="J38" s="5">
        <v>0</v>
      </c>
      <c r="K38" s="5">
        <v>0</v>
      </c>
      <c r="L38" s="5">
        <v>0</v>
      </c>
      <c r="M38" s="5">
        <v>-2796</v>
      </c>
      <c r="N38" s="5">
        <v>-234</v>
      </c>
      <c r="O38" s="5">
        <v>0</v>
      </c>
      <c r="P38" s="5">
        <v>0</v>
      </c>
    </row>
    <row r="39" spans="1:16" x14ac:dyDescent="0.25">
      <c r="A39" s="8">
        <v>6725</v>
      </c>
      <c r="B39" s="3" t="s">
        <v>130</v>
      </c>
      <c r="C39" s="5">
        <v>0</v>
      </c>
      <c r="D39" s="5">
        <v>-29278.400000000001</v>
      </c>
      <c r="E39" s="4">
        <v>29278.400000000001</v>
      </c>
      <c r="F39" s="3" t="s">
        <v>116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8">
        <v>6800</v>
      </c>
      <c r="B40" s="3" t="s">
        <v>70</v>
      </c>
      <c r="C40" s="5">
        <v>-13936.28</v>
      </c>
      <c r="D40" s="5">
        <v>-17188.36</v>
      </c>
      <c r="E40" s="4">
        <v>3252.08</v>
      </c>
      <c r="F40" s="3" t="s">
        <v>131</v>
      </c>
      <c r="G40" s="5">
        <v>-3005</v>
      </c>
      <c r="H40" s="5">
        <v>-1004.88</v>
      </c>
      <c r="I40" s="5">
        <v>-2337.1999999999998</v>
      </c>
      <c r="J40" s="5">
        <v>0</v>
      </c>
      <c r="K40" s="5">
        <v>0</v>
      </c>
      <c r="L40" s="5">
        <v>0</v>
      </c>
      <c r="M40" s="5">
        <v>0</v>
      </c>
      <c r="N40" s="5">
        <v>-6227.7</v>
      </c>
      <c r="O40" s="5">
        <v>-1361.5</v>
      </c>
      <c r="P40" s="5">
        <v>0</v>
      </c>
    </row>
    <row r="41" spans="1:16" x14ac:dyDescent="0.25">
      <c r="A41" s="8">
        <v>6860</v>
      </c>
      <c r="B41" s="3" t="s">
        <v>132</v>
      </c>
      <c r="C41" s="5">
        <v>0</v>
      </c>
      <c r="D41" s="5">
        <v>-5304</v>
      </c>
      <c r="E41" s="4">
        <v>5304</v>
      </c>
      <c r="F41" s="3" t="s">
        <v>116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x14ac:dyDescent="0.25">
      <c r="A42" s="8">
        <v>6901</v>
      </c>
      <c r="B42" s="3" t="s">
        <v>71</v>
      </c>
      <c r="C42" s="5">
        <v>-29630.65</v>
      </c>
      <c r="D42" s="5">
        <v>-33290.269999999997</v>
      </c>
      <c r="E42" s="4">
        <v>3659.62</v>
      </c>
      <c r="F42" s="3" t="s">
        <v>133</v>
      </c>
      <c r="G42" s="5">
        <v>-2954.65</v>
      </c>
      <c r="H42" s="5">
        <v>-2993.52</v>
      </c>
      <c r="I42" s="5">
        <v>-2658.1</v>
      </c>
      <c r="J42" s="5">
        <v>-2702.02</v>
      </c>
      <c r="K42" s="5">
        <v>-2804.1</v>
      </c>
      <c r="L42" s="5">
        <v>-4197.24</v>
      </c>
      <c r="M42" s="5">
        <v>-3235.68</v>
      </c>
      <c r="N42" s="5">
        <v>-2293.69</v>
      </c>
      <c r="O42" s="5">
        <v>-3457.83</v>
      </c>
      <c r="P42" s="5">
        <v>-2333.8200000000002</v>
      </c>
    </row>
    <row r="43" spans="1:16" x14ac:dyDescent="0.25">
      <c r="A43" s="8">
        <v>6907</v>
      </c>
      <c r="B43" s="3" t="s">
        <v>72</v>
      </c>
      <c r="C43" s="5">
        <v>-4890.6000000000004</v>
      </c>
      <c r="D43" s="5">
        <v>0</v>
      </c>
      <c r="E43" s="4">
        <v>-4890.6000000000004</v>
      </c>
      <c r="F43" s="3" t="s">
        <v>109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-2910.6</v>
      </c>
      <c r="O43" s="5">
        <v>-990</v>
      </c>
      <c r="P43" s="5">
        <v>-990</v>
      </c>
    </row>
    <row r="44" spans="1:16" x14ac:dyDescent="0.25">
      <c r="A44" s="8">
        <v>7130</v>
      </c>
      <c r="B44" s="3" t="s">
        <v>134</v>
      </c>
      <c r="C44" s="5">
        <v>0</v>
      </c>
      <c r="D44" s="5">
        <v>-35943</v>
      </c>
      <c r="E44" s="4">
        <v>35943</v>
      </c>
      <c r="F44" s="3" t="s">
        <v>116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</row>
    <row r="45" spans="1:16" x14ac:dyDescent="0.25">
      <c r="A45" s="8">
        <v>7140</v>
      </c>
      <c r="B45" s="3" t="s">
        <v>74</v>
      </c>
      <c r="C45" s="5">
        <v>-3862.25</v>
      </c>
      <c r="D45" s="5">
        <v>-20509.919999999998</v>
      </c>
      <c r="E45" s="4">
        <v>16647.669999999998</v>
      </c>
      <c r="F45" s="3" t="s">
        <v>135</v>
      </c>
      <c r="G45" s="5">
        <v>0</v>
      </c>
      <c r="H45" s="5">
        <v>-411.75</v>
      </c>
      <c r="I45" s="5">
        <v>-795.3</v>
      </c>
      <c r="J45" s="5">
        <v>-500.4</v>
      </c>
      <c r="K45" s="5">
        <v>0</v>
      </c>
      <c r="L45" s="5">
        <v>0</v>
      </c>
      <c r="M45" s="5">
        <v>-407.19</v>
      </c>
      <c r="N45" s="5">
        <v>-737.56</v>
      </c>
      <c r="O45" s="5">
        <v>-1010.05</v>
      </c>
      <c r="P45" s="5">
        <v>0</v>
      </c>
    </row>
    <row r="46" spans="1:16" x14ac:dyDescent="0.25">
      <c r="A46" s="8">
        <v>7321</v>
      </c>
      <c r="B46" s="3" t="s">
        <v>75</v>
      </c>
      <c r="C46" s="5">
        <v>-6938.91</v>
      </c>
      <c r="D46" s="5">
        <v>-8159.68</v>
      </c>
      <c r="E46" s="4">
        <v>1220.77</v>
      </c>
      <c r="F46" s="3" t="s">
        <v>136</v>
      </c>
      <c r="G46" s="5">
        <v>0</v>
      </c>
      <c r="H46" s="5">
        <v>0</v>
      </c>
      <c r="I46" s="5">
        <v>0</v>
      </c>
      <c r="J46" s="5">
        <v>0</v>
      </c>
      <c r="K46" s="5">
        <v>-538.48</v>
      </c>
      <c r="L46" s="5">
        <v>0</v>
      </c>
      <c r="M46" s="5">
        <v>-632.79999999999995</v>
      </c>
      <c r="N46" s="5">
        <v>-2258.83</v>
      </c>
      <c r="O46" s="5">
        <v>-508.8</v>
      </c>
      <c r="P46" s="5">
        <v>-3000</v>
      </c>
    </row>
    <row r="47" spans="1:16" x14ac:dyDescent="0.25">
      <c r="A47" s="8">
        <v>7329</v>
      </c>
      <c r="B47" s="3" t="s">
        <v>137</v>
      </c>
      <c r="C47" s="5">
        <v>0</v>
      </c>
      <c r="D47" s="5">
        <v>-7040</v>
      </c>
      <c r="E47" s="4">
        <v>7040</v>
      </c>
      <c r="F47" s="3" t="s">
        <v>116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8">
        <v>7711</v>
      </c>
      <c r="B48" s="3" t="s">
        <v>138</v>
      </c>
      <c r="C48" s="5">
        <v>0</v>
      </c>
      <c r="D48" s="5">
        <v>-1145.7</v>
      </c>
      <c r="E48" s="4">
        <v>1145.7</v>
      </c>
      <c r="F48" s="3" t="s">
        <v>116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</row>
    <row r="49" spans="1:16" x14ac:dyDescent="0.25">
      <c r="A49" s="8">
        <v>7740</v>
      </c>
      <c r="B49" s="3" t="s">
        <v>76</v>
      </c>
      <c r="C49" s="5">
        <v>3.07</v>
      </c>
      <c r="D49" s="5">
        <v>-10.82</v>
      </c>
      <c r="E49" s="4">
        <v>13.89</v>
      </c>
      <c r="F49" s="3" t="s">
        <v>139</v>
      </c>
      <c r="G49" s="5">
        <v>0.8</v>
      </c>
      <c r="H49" s="5">
        <v>2.0299999999999998</v>
      </c>
      <c r="I49" s="5">
        <v>-0.48</v>
      </c>
      <c r="J49" s="5">
        <v>-0.04</v>
      </c>
      <c r="K49" s="5">
        <v>0.35</v>
      </c>
      <c r="L49" s="5">
        <v>0.13</v>
      </c>
      <c r="M49" s="5">
        <v>0.99</v>
      </c>
      <c r="N49" s="5">
        <v>-0.43</v>
      </c>
      <c r="O49" s="5">
        <v>1.36</v>
      </c>
      <c r="P49" s="5">
        <v>-1.64</v>
      </c>
    </row>
    <row r="50" spans="1:16" x14ac:dyDescent="0.25">
      <c r="A50" s="8">
        <v>7770</v>
      </c>
      <c r="B50" s="3" t="s">
        <v>77</v>
      </c>
      <c r="C50" s="5">
        <v>-6612.73</v>
      </c>
      <c r="D50" s="5">
        <v>-8138.27</v>
      </c>
      <c r="E50" s="4">
        <v>1525.54</v>
      </c>
      <c r="F50" s="3" t="s">
        <v>131</v>
      </c>
      <c r="G50" s="5">
        <v>-612.35</v>
      </c>
      <c r="H50" s="5">
        <v>-1087.96</v>
      </c>
      <c r="I50" s="5">
        <v>-716.65</v>
      </c>
      <c r="J50" s="5">
        <v>-963.79</v>
      </c>
      <c r="K50" s="5">
        <v>-454.14</v>
      </c>
      <c r="L50" s="5">
        <v>-539.36</v>
      </c>
      <c r="M50" s="5">
        <v>-449.05</v>
      </c>
      <c r="N50" s="5">
        <v>-676.73</v>
      </c>
      <c r="O50" s="5">
        <v>-653.26</v>
      </c>
      <c r="P50" s="5">
        <v>-459.44</v>
      </c>
    </row>
    <row r="51" spans="1:16" x14ac:dyDescent="0.25">
      <c r="A51" s="8">
        <v>7772</v>
      </c>
      <c r="B51" s="3" t="s">
        <v>78</v>
      </c>
      <c r="C51" s="5">
        <v>-7580.43</v>
      </c>
      <c r="D51" s="5">
        <v>-8802.57</v>
      </c>
      <c r="E51" s="4">
        <v>1222.1400000000001</v>
      </c>
      <c r="F51" s="3" t="s">
        <v>140</v>
      </c>
      <c r="G51" s="5">
        <v>-711.52</v>
      </c>
      <c r="H51" s="5">
        <v>-273.91000000000003</v>
      </c>
      <c r="I51" s="5">
        <v>-540.5</v>
      </c>
      <c r="J51" s="5">
        <v>-738.24</v>
      </c>
      <c r="K51" s="5">
        <v>-817.43</v>
      </c>
      <c r="L51" s="5">
        <v>-766.6</v>
      </c>
      <c r="M51" s="5">
        <v>-760.02</v>
      </c>
      <c r="N51" s="5">
        <v>-575.58000000000004</v>
      </c>
      <c r="O51" s="5">
        <v>-1533.09</v>
      </c>
      <c r="P51" s="5">
        <v>-863.54</v>
      </c>
    </row>
    <row r="52" spans="1:16" x14ac:dyDescent="0.25">
      <c r="A52" s="8">
        <v>7798</v>
      </c>
      <c r="B52" s="3" t="s">
        <v>79</v>
      </c>
      <c r="C52" s="5">
        <v>-1314.3</v>
      </c>
      <c r="D52" s="5">
        <v>0</v>
      </c>
      <c r="E52" s="4">
        <v>-1314.3</v>
      </c>
      <c r="F52" s="3" t="s">
        <v>109</v>
      </c>
      <c r="G52" s="5">
        <v>331.52</v>
      </c>
      <c r="H52" s="5">
        <v>-2431.8200000000002</v>
      </c>
      <c r="I52" s="5">
        <v>786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</row>
    <row r="53" spans="1:16" x14ac:dyDescent="0.25">
      <c r="A53" s="11" t="s">
        <v>141</v>
      </c>
      <c r="B53" s="12"/>
      <c r="C53" s="17">
        <v>-2292084.21</v>
      </c>
      <c r="D53" s="17">
        <v>-1127402.79</v>
      </c>
      <c r="E53" s="13">
        <v>-1164681.42</v>
      </c>
      <c r="F53" s="1" t="s">
        <v>142</v>
      </c>
      <c r="G53" s="17">
        <v>-241344.83</v>
      </c>
      <c r="H53" s="17">
        <v>-269807.64</v>
      </c>
      <c r="I53" s="17">
        <v>-360662.11</v>
      </c>
      <c r="J53" s="17">
        <v>-193290.14</v>
      </c>
      <c r="K53" s="17">
        <v>-130803.52</v>
      </c>
      <c r="L53" s="17">
        <v>-254243.9</v>
      </c>
      <c r="M53" s="17">
        <v>-280277.75</v>
      </c>
      <c r="N53" s="17">
        <v>-196213.75</v>
      </c>
      <c r="O53" s="17">
        <v>-116141.45</v>
      </c>
      <c r="P53" s="17">
        <v>-249299.12</v>
      </c>
    </row>
    <row r="54" spans="1:16" x14ac:dyDescent="0.25">
      <c r="A54" s="14" t="s">
        <v>7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20"/>
    </row>
    <row r="55" spans="1:16" x14ac:dyDescent="0.25">
      <c r="A55" s="11" t="s">
        <v>143</v>
      </c>
      <c r="B55" s="12"/>
      <c r="C55" s="1" t="s">
        <v>89</v>
      </c>
      <c r="D55" s="1" t="s">
        <v>90</v>
      </c>
      <c r="E55" s="11" t="s">
        <v>3</v>
      </c>
      <c r="F55" s="12"/>
      <c r="G55" s="17" t="s">
        <v>91</v>
      </c>
      <c r="H55" s="17" t="s">
        <v>92</v>
      </c>
      <c r="I55" s="17" t="s">
        <v>93</v>
      </c>
      <c r="J55" s="17" t="s">
        <v>94</v>
      </c>
      <c r="K55" s="17" t="s">
        <v>95</v>
      </c>
      <c r="L55" s="17" t="s">
        <v>96</v>
      </c>
      <c r="M55" s="17" t="s">
        <v>97</v>
      </c>
      <c r="N55" s="17" t="s">
        <v>98</v>
      </c>
      <c r="O55" s="17" t="s">
        <v>99</v>
      </c>
      <c r="P55" s="17" t="s">
        <v>100</v>
      </c>
    </row>
    <row r="56" spans="1:16" x14ac:dyDescent="0.25">
      <c r="A56" s="11" t="s">
        <v>144</v>
      </c>
      <c r="B56" s="12"/>
      <c r="C56" s="17">
        <v>-65332.03</v>
      </c>
      <c r="D56" s="17">
        <v>170254.22</v>
      </c>
      <c r="E56" s="13">
        <v>-235586.25</v>
      </c>
      <c r="F56" s="1" t="s">
        <v>145</v>
      </c>
      <c r="G56" s="17">
        <v>-64355.92</v>
      </c>
      <c r="H56" s="17">
        <v>-76323.34</v>
      </c>
      <c r="I56" s="17">
        <v>-111610.09</v>
      </c>
      <c r="J56" s="17">
        <v>-33363.64</v>
      </c>
      <c r="K56" s="17">
        <v>108516.37</v>
      </c>
      <c r="L56" s="17">
        <v>81369.149999999994</v>
      </c>
      <c r="M56" s="17">
        <v>-42267.4</v>
      </c>
      <c r="N56" s="17">
        <v>17529.73</v>
      </c>
      <c r="O56" s="17">
        <v>110489.83</v>
      </c>
      <c r="P56" s="17">
        <v>-55316.72</v>
      </c>
    </row>
    <row r="57" spans="1:16" x14ac:dyDescent="0.25">
      <c r="A57" s="14" t="s">
        <v>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20"/>
    </row>
    <row r="58" spans="1:16" x14ac:dyDescent="0.25">
      <c r="A58" s="11" t="s">
        <v>87</v>
      </c>
      <c r="B58" s="12"/>
      <c r="C58" s="1" t="s">
        <v>89</v>
      </c>
      <c r="D58" s="1" t="s">
        <v>90</v>
      </c>
      <c r="E58" s="11" t="s">
        <v>3</v>
      </c>
      <c r="F58" s="12"/>
      <c r="G58" s="17" t="s">
        <v>91</v>
      </c>
      <c r="H58" s="17" t="s">
        <v>92</v>
      </c>
      <c r="I58" s="17" t="s">
        <v>93</v>
      </c>
      <c r="J58" s="17" t="s">
        <v>94</v>
      </c>
      <c r="K58" s="17" t="s">
        <v>95</v>
      </c>
      <c r="L58" s="17" t="s">
        <v>96</v>
      </c>
      <c r="M58" s="17" t="s">
        <v>97</v>
      </c>
      <c r="N58" s="17" t="s">
        <v>98</v>
      </c>
      <c r="O58" s="17" t="s">
        <v>99</v>
      </c>
      <c r="P58" s="17" t="s">
        <v>100</v>
      </c>
    </row>
    <row r="59" spans="1:16" x14ac:dyDescent="0.25">
      <c r="A59" s="8">
        <v>8051</v>
      </c>
      <c r="B59" s="3" t="s">
        <v>80</v>
      </c>
      <c r="C59" s="5">
        <v>130</v>
      </c>
      <c r="D59" s="5">
        <v>0</v>
      </c>
      <c r="E59" s="4">
        <v>130</v>
      </c>
      <c r="F59" s="3" t="s">
        <v>109</v>
      </c>
      <c r="G59" s="5">
        <v>0</v>
      </c>
      <c r="H59" s="5">
        <v>0</v>
      </c>
      <c r="I59" s="5">
        <v>0</v>
      </c>
      <c r="J59" s="5">
        <v>130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x14ac:dyDescent="0.25">
      <c r="A60" s="8">
        <v>8060</v>
      </c>
      <c r="B60" s="3" t="s">
        <v>81</v>
      </c>
      <c r="C60" s="5">
        <v>50442.57</v>
      </c>
      <c r="D60" s="5">
        <v>-314.27</v>
      </c>
      <c r="E60" s="4">
        <v>50756.84</v>
      </c>
      <c r="F60" s="3" t="s">
        <v>146</v>
      </c>
      <c r="G60" s="5">
        <v>218.85</v>
      </c>
      <c r="H60" s="5">
        <v>17.23</v>
      </c>
      <c r="I60" s="5">
        <v>1100.77</v>
      </c>
      <c r="J60" s="5">
        <v>106.42</v>
      </c>
      <c r="K60" s="5">
        <v>288.18</v>
      </c>
      <c r="L60" s="5">
        <v>0</v>
      </c>
      <c r="M60" s="5">
        <v>0</v>
      </c>
      <c r="N60" s="5">
        <v>59.44</v>
      </c>
      <c r="O60" s="5">
        <v>11.68</v>
      </c>
      <c r="P60" s="5">
        <v>48640</v>
      </c>
    </row>
    <row r="61" spans="1:16" x14ac:dyDescent="0.25">
      <c r="A61" s="8">
        <v>8140</v>
      </c>
      <c r="B61" s="3" t="s">
        <v>82</v>
      </c>
      <c r="C61" s="5">
        <v>-13212</v>
      </c>
      <c r="D61" s="5">
        <v>0</v>
      </c>
      <c r="E61" s="4">
        <v>-13212</v>
      </c>
      <c r="F61" s="3" t="s">
        <v>109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-13212</v>
      </c>
    </row>
    <row r="62" spans="1:16" x14ac:dyDescent="0.25">
      <c r="A62" s="8">
        <v>8155</v>
      </c>
      <c r="B62" s="3" t="s">
        <v>83</v>
      </c>
      <c r="C62" s="5">
        <v>-87</v>
      </c>
      <c r="D62" s="5">
        <v>-60</v>
      </c>
      <c r="E62" s="4">
        <v>-27</v>
      </c>
      <c r="F62" s="3" t="s">
        <v>147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-87</v>
      </c>
    </row>
    <row r="63" spans="1:16" x14ac:dyDescent="0.25">
      <c r="A63" s="8">
        <v>8159</v>
      </c>
      <c r="B63" s="3" t="s">
        <v>84</v>
      </c>
      <c r="C63" s="5">
        <v>-91120.67</v>
      </c>
      <c r="D63" s="5">
        <v>0</v>
      </c>
      <c r="E63" s="4">
        <v>-91120.67</v>
      </c>
      <c r="F63" s="3" t="s">
        <v>109</v>
      </c>
      <c r="G63" s="5">
        <v>-54393.38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-36727.29</v>
      </c>
      <c r="N63" s="5">
        <v>0</v>
      </c>
      <c r="O63" s="5">
        <v>0</v>
      </c>
      <c r="P63" s="5">
        <v>0</v>
      </c>
    </row>
    <row r="64" spans="1:16" x14ac:dyDescent="0.25">
      <c r="A64" s="8">
        <v>8160</v>
      </c>
      <c r="B64" s="3" t="s">
        <v>85</v>
      </c>
      <c r="C64" s="5">
        <v>-17553.650000000001</v>
      </c>
      <c r="D64" s="5">
        <v>-6209</v>
      </c>
      <c r="E64" s="4">
        <v>-11344.65</v>
      </c>
      <c r="F64" s="3" t="s">
        <v>148</v>
      </c>
      <c r="G64" s="5">
        <v>-441.44</v>
      </c>
      <c r="H64" s="5">
        <v>-1975.02</v>
      </c>
      <c r="I64" s="5">
        <v>-3218.5</v>
      </c>
      <c r="J64" s="5">
        <v>-3663.99</v>
      </c>
      <c r="K64" s="5">
        <v>-133.91</v>
      </c>
      <c r="L64" s="5">
        <v>-3390.57</v>
      </c>
      <c r="M64" s="5">
        <v>-1506.34</v>
      </c>
      <c r="N64" s="5">
        <v>-1419.94</v>
      </c>
      <c r="O64" s="5">
        <v>-1078.9100000000001</v>
      </c>
      <c r="P64" s="5">
        <v>-725.03</v>
      </c>
    </row>
    <row r="65" spans="1:16" x14ac:dyDescent="0.25">
      <c r="A65" s="8">
        <v>8309</v>
      </c>
      <c r="B65" s="3" t="s">
        <v>86</v>
      </c>
      <c r="C65" s="5">
        <v>5314</v>
      </c>
      <c r="D65" s="5">
        <v>0</v>
      </c>
      <c r="E65" s="4">
        <v>5314</v>
      </c>
      <c r="F65" s="3" t="s">
        <v>109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5314</v>
      </c>
      <c r="M65" s="5">
        <v>0</v>
      </c>
      <c r="N65" s="5">
        <v>0</v>
      </c>
      <c r="O65" s="5">
        <v>0</v>
      </c>
      <c r="P65" s="5">
        <v>0</v>
      </c>
    </row>
    <row r="66" spans="1:16" x14ac:dyDescent="0.25">
      <c r="A66" s="11" t="s">
        <v>149</v>
      </c>
      <c r="B66" s="12"/>
      <c r="C66" s="17">
        <v>-66086.75</v>
      </c>
      <c r="D66" s="17">
        <v>-6583.27</v>
      </c>
      <c r="E66" s="13">
        <v>-59503.48</v>
      </c>
      <c r="F66" s="1" t="s">
        <v>150</v>
      </c>
      <c r="G66" s="17">
        <v>-54615.97</v>
      </c>
      <c r="H66" s="17">
        <v>-1957.79</v>
      </c>
      <c r="I66" s="17">
        <v>-2117.73</v>
      </c>
      <c r="J66" s="17">
        <v>-3427.57</v>
      </c>
      <c r="K66" s="17">
        <v>154.27000000000001</v>
      </c>
      <c r="L66" s="17">
        <v>1923.43</v>
      </c>
      <c r="M66" s="17">
        <v>-38233.629999999997</v>
      </c>
      <c r="N66" s="17">
        <v>-1360.5</v>
      </c>
      <c r="O66" s="17">
        <v>-1067.23</v>
      </c>
      <c r="P66" s="17">
        <v>34615.97</v>
      </c>
    </row>
    <row r="67" spans="1:16" x14ac:dyDescent="0.25">
      <c r="A67" s="14" t="s">
        <v>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20"/>
    </row>
    <row r="68" spans="1:16" x14ac:dyDescent="0.25">
      <c r="A68" s="11" t="s">
        <v>151</v>
      </c>
      <c r="B68" s="12"/>
      <c r="C68" s="1" t="s">
        <v>89</v>
      </c>
      <c r="D68" s="1" t="s">
        <v>90</v>
      </c>
      <c r="E68" s="11" t="s">
        <v>3</v>
      </c>
      <c r="F68" s="12"/>
      <c r="G68" s="17" t="s">
        <v>91</v>
      </c>
      <c r="H68" s="17" t="s">
        <v>92</v>
      </c>
      <c r="I68" s="17" t="s">
        <v>93</v>
      </c>
      <c r="J68" s="17" t="s">
        <v>94</v>
      </c>
      <c r="K68" s="17" t="s">
        <v>95</v>
      </c>
      <c r="L68" s="17" t="s">
        <v>96</v>
      </c>
      <c r="M68" s="17" t="s">
        <v>97</v>
      </c>
      <c r="N68" s="17" t="s">
        <v>98</v>
      </c>
      <c r="O68" s="17" t="s">
        <v>99</v>
      </c>
      <c r="P68" s="17" t="s">
        <v>100</v>
      </c>
    </row>
    <row r="69" spans="1:16" x14ac:dyDescent="0.25">
      <c r="A69" s="11" t="s">
        <v>152</v>
      </c>
      <c r="B69" s="12"/>
      <c r="C69" s="17">
        <v>-131418.78</v>
      </c>
      <c r="D69" s="17">
        <v>163670.95000000001</v>
      </c>
      <c r="E69" s="13">
        <v>-295089.73</v>
      </c>
      <c r="F69" s="1" t="s">
        <v>153</v>
      </c>
      <c r="G69" s="17">
        <v>-118971.89</v>
      </c>
      <c r="H69" s="17">
        <v>-78281.13</v>
      </c>
      <c r="I69" s="17">
        <v>-113727.82</v>
      </c>
      <c r="J69" s="17">
        <v>-36791.21</v>
      </c>
      <c r="K69" s="17">
        <v>108670.64</v>
      </c>
      <c r="L69" s="17">
        <v>83292.58</v>
      </c>
      <c r="M69" s="17">
        <v>-80501.03</v>
      </c>
      <c r="N69" s="17">
        <v>16169.23</v>
      </c>
      <c r="O69" s="17">
        <v>109422.6</v>
      </c>
      <c r="P69" s="17">
        <v>-20700.75</v>
      </c>
    </row>
  </sheetData>
  <mergeCells count="18">
    <mergeCell ref="A69:B69"/>
    <mergeCell ref="A58:B58"/>
    <mergeCell ref="E58:F58"/>
    <mergeCell ref="A66:B66"/>
    <mergeCell ref="A67:O67"/>
    <mergeCell ref="A68:B68"/>
    <mergeCell ref="E68:F68"/>
    <mergeCell ref="A53:B53"/>
    <mergeCell ref="A54:O54"/>
    <mergeCell ref="A55:B55"/>
    <mergeCell ref="E55:F55"/>
    <mergeCell ref="A56:B56"/>
    <mergeCell ref="A57:O57"/>
    <mergeCell ref="A3:B3"/>
    <mergeCell ref="E3:F3"/>
    <mergeCell ref="A8:B8"/>
    <mergeCell ref="A9:B9"/>
    <mergeCell ref="E9:F9"/>
  </mergeCells>
  <conditionalFormatting sqref="C1:P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2"/>
  <sheetViews>
    <sheetView workbookViewId="0">
      <selection activeCell="C2" sqref="C2:F2"/>
    </sheetView>
  </sheetViews>
  <sheetFormatPr baseColWidth="10" defaultColWidth="9.140625" defaultRowHeight="15" x14ac:dyDescent="0.25"/>
  <cols>
    <col min="1" max="1" width="7.42578125" style="9" bestFit="1" customWidth="1"/>
    <col min="2" max="2" width="49.42578125" bestFit="1" customWidth="1"/>
    <col min="3" max="3" width="19.140625" bestFit="1" customWidth="1"/>
    <col min="4" max="4" width="14.42578125" bestFit="1" customWidth="1"/>
    <col min="5" max="5" width="18.42578125" bestFit="1" customWidth="1"/>
    <col min="6" max="6" width="9.85546875" bestFit="1" customWidth="1"/>
  </cols>
  <sheetData>
    <row r="2" spans="1:7" x14ac:dyDescent="0.25">
      <c r="A2" s="7" t="s">
        <v>0</v>
      </c>
      <c r="B2" s="6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2"/>
    </row>
    <row r="3" spans="1:7" x14ac:dyDescent="0.25">
      <c r="A3" s="8">
        <v>1396</v>
      </c>
      <c r="B3" s="3" t="s">
        <v>6</v>
      </c>
      <c r="C3" s="5">
        <v>7000</v>
      </c>
      <c r="D3" s="5">
        <v>0</v>
      </c>
      <c r="E3" s="5">
        <v>7000</v>
      </c>
      <c r="F3" s="3" t="s">
        <v>7</v>
      </c>
      <c r="G3" s="2"/>
    </row>
    <row r="4" spans="1:7" x14ac:dyDescent="0.25">
      <c r="A4" s="8">
        <v>1461</v>
      </c>
      <c r="B4" s="3" t="s">
        <v>8</v>
      </c>
      <c r="C4" s="5">
        <v>430000.29</v>
      </c>
      <c r="D4" s="5">
        <v>0</v>
      </c>
      <c r="E4" s="5">
        <v>430000.29</v>
      </c>
      <c r="F4" s="3" t="s">
        <v>7</v>
      </c>
      <c r="G4" s="2"/>
    </row>
    <row r="5" spans="1:7" x14ac:dyDescent="0.25">
      <c r="A5" s="8">
        <v>1462</v>
      </c>
      <c r="B5" s="3" t="s">
        <v>9</v>
      </c>
      <c r="C5" s="5">
        <v>34858.019999999997</v>
      </c>
      <c r="D5" s="5">
        <v>87975.8</v>
      </c>
      <c r="E5" s="5">
        <v>122833.82</v>
      </c>
      <c r="F5" s="3" t="s">
        <v>7</v>
      </c>
      <c r="G5" s="2"/>
    </row>
    <row r="6" spans="1:7" x14ac:dyDescent="0.25">
      <c r="A6" s="8">
        <v>1500</v>
      </c>
      <c r="B6" s="3" t="s">
        <v>10</v>
      </c>
      <c r="C6" s="5">
        <v>195001.81</v>
      </c>
      <c r="D6" s="5">
        <v>-38366.81</v>
      </c>
      <c r="E6" s="5">
        <v>156635</v>
      </c>
      <c r="F6" s="3" t="s">
        <v>7</v>
      </c>
      <c r="G6" s="2"/>
    </row>
    <row r="7" spans="1:7" x14ac:dyDescent="0.25">
      <c r="A7" s="8">
        <v>1521</v>
      </c>
      <c r="B7" s="3" t="s">
        <v>11</v>
      </c>
      <c r="C7" s="5">
        <v>960.37</v>
      </c>
      <c r="D7" s="5">
        <v>5391.56</v>
      </c>
      <c r="E7" s="5">
        <v>6351.93</v>
      </c>
      <c r="F7" s="3" t="s">
        <v>7</v>
      </c>
      <c r="G7" s="2"/>
    </row>
    <row r="8" spans="1:7" x14ac:dyDescent="0.25">
      <c r="A8" s="8">
        <v>1522</v>
      </c>
      <c r="B8" s="3" t="s">
        <v>12</v>
      </c>
      <c r="C8" s="5">
        <v>-13063.04</v>
      </c>
      <c r="D8" s="5">
        <v>3415.7</v>
      </c>
      <c r="E8" s="5">
        <v>-9647.34</v>
      </c>
      <c r="F8" s="3" t="s">
        <v>7</v>
      </c>
      <c r="G8" s="2"/>
    </row>
    <row r="9" spans="1:7" x14ac:dyDescent="0.25">
      <c r="A9" s="8">
        <v>1575</v>
      </c>
      <c r="B9" s="3" t="s">
        <v>13</v>
      </c>
      <c r="C9" s="5">
        <v>0</v>
      </c>
      <c r="D9" s="5">
        <v>0</v>
      </c>
      <c r="E9" s="5">
        <v>0</v>
      </c>
      <c r="F9" s="3" t="s">
        <v>7</v>
      </c>
      <c r="G9" s="2"/>
    </row>
    <row r="10" spans="1:7" x14ac:dyDescent="0.25">
      <c r="A10" s="8">
        <v>1577</v>
      </c>
      <c r="B10" s="3" t="s">
        <v>14</v>
      </c>
      <c r="C10" s="5">
        <v>0</v>
      </c>
      <c r="D10" s="5">
        <v>0</v>
      </c>
      <c r="E10" s="5">
        <v>0</v>
      </c>
      <c r="F10" s="3" t="s">
        <v>7</v>
      </c>
      <c r="G10" s="2"/>
    </row>
    <row r="11" spans="1:7" x14ac:dyDescent="0.25">
      <c r="A11" s="8">
        <v>1749</v>
      </c>
      <c r="B11" s="3" t="s">
        <v>15</v>
      </c>
      <c r="C11" s="5">
        <v>0</v>
      </c>
      <c r="D11" s="5">
        <v>200</v>
      </c>
      <c r="E11" s="5">
        <v>200</v>
      </c>
      <c r="F11" s="3" t="s">
        <v>7</v>
      </c>
      <c r="G11" s="2"/>
    </row>
    <row r="12" spans="1:7" x14ac:dyDescent="0.25">
      <c r="A12" s="8">
        <v>1901</v>
      </c>
      <c r="B12" s="3" t="s">
        <v>16</v>
      </c>
      <c r="C12" s="5">
        <v>2103</v>
      </c>
      <c r="D12" s="5">
        <v>-558</v>
      </c>
      <c r="E12" s="5">
        <v>1545</v>
      </c>
      <c r="F12" s="3" t="s">
        <v>7</v>
      </c>
      <c r="G12" s="2"/>
    </row>
    <row r="13" spans="1:7" x14ac:dyDescent="0.25">
      <c r="A13" s="8">
        <v>1909</v>
      </c>
      <c r="B13" s="3" t="s">
        <v>17</v>
      </c>
      <c r="C13" s="5">
        <v>5952.7</v>
      </c>
      <c r="D13" s="5">
        <v>-1095.72</v>
      </c>
      <c r="E13" s="5">
        <v>4856.9799999999996</v>
      </c>
      <c r="F13" s="3" t="s">
        <v>7</v>
      </c>
      <c r="G13" s="2"/>
    </row>
    <row r="14" spans="1:7" x14ac:dyDescent="0.25">
      <c r="A14" s="8">
        <v>1920</v>
      </c>
      <c r="B14" s="3" t="s">
        <v>18</v>
      </c>
      <c r="C14" s="5">
        <v>29810.28</v>
      </c>
      <c r="D14" s="5">
        <v>-8761.32</v>
      </c>
      <c r="E14" s="5">
        <v>21048.959999999999</v>
      </c>
      <c r="F14" s="3" t="s">
        <v>19</v>
      </c>
      <c r="G14" s="2"/>
    </row>
    <row r="15" spans="1:7" x14ac:dyDescent="0.25">
      <c r="A15" s="8">
        <v>1950</v>
      </c>
      <c r="B15" s="3" t="s">
        <v>20</v>
      </c>
      <c r="C15" s="5">
        <v>10166</v>
      </c>
      <c r="D15" s="5">
        <v>-1278</v>
      </c>
      <c r="E15" s="5">
        <v>8888</v>
      </c>
      <c r="F15" s="3" t="s">
        <v>21</v>
      </c>
      <c r="G15" s="2"/>
    </row>
    <row r="16" spans="1:7" x14ac:dyDescent="0.25">
      <c r="A16" s="8">
        <v>1960</v>
      </c>
      <c r="B16" s="3" t="s">
        <v>22</v>
      </c>
      <c r="C16" s="5">
        <v>696</v>
      </c>
      <c r="D16" s="5">
        <v>4163</v>
      </c>
      <c r="E16" s="5">
        <v>4859</v>
      </c>
      <c r="F16" s="3" t="s">
        <v>7</v>
      </c>
      <c r="G16" s="2"/>
    </row>
    <row r="17" spans="1:7" x14ac:dyDescent="0.25">
      <c r="A17" s="8">
        <v>1</v>
      </c>
      <c r="B17" s="3" t="s">
        <v>23</v>
      </c>
      <c r="C17" s="5">
        <v>703485.43</v>
      </c>
      <c r="D17" s="5">
        <v>51086.21</v>
      </c>
      <c r="E17" s="5">
        <v>754571.64</v>
      </c>
      <c r="F17" s="2"/>
      <c r="G17" s="2"/>
    </row>
    <row r="18" spans="1:7" x14ac:dyDescent="0.25">
      <c r="A18" s="8">
        <v>2000</v>
      </c>
      <c r="B18" s="3" t="s">
        <v>24</v>
      </c>
      <c r="C18" s="5">
        <v>-120000</v>
      </c>
      <c r="D18" s="5">
        <v>0</v>
      </c>
      <c r="E18" s="5">
        <v>-120000</v>
      </c>
      <c r="F18" s="3" t="s">
        <v>7</v>
      </c>
      <c r="G18" s="2"/>
    </row>
    <row r="19" spans="1:7" x14ac:dyDescent="0.25">
      <c r="A19" s="8">
        <v>2050</v>
      </c>
      <c r="B19" s="3" t="s">
        <v>25</v>
      </c>
      <c r="C19" s="5">
        <v>-45850.95</v>
      </c>
      <c r="D19" s="5">
        <v>0</v>
      </c>
      <c r="E19" s="5">
        <v>-45850.95</v>
      </c>
      <c r="F19" s="3" t="s">
        <v>7</v>
      </c>
      <c r="G19" s="2"/>
    </row>
    <row r="20" spans="1:7" x14ac:dyDescent="0.25">
      <c r="A20" s="8">
        <v>2400</v>
      </c>
      <c r="B20" s="3" t="s">
        <v>26</v>
      </c>
      <c r="C20" s="5">
        <v>-205234.68</v>
      </c>
      <c r="D20" s="5">
        <v>158572.04</v>
      </c>
      <c r="E20" s="5">
        <v>-46662.64</v>
      </c>
      <c r="F20" s="3" t="s">
        <v>7</v>
      </c>
      <c r="G20" s="2"/>
    </row>
    <row r="21" spans="1:7" x14ac:dyDescent="0.25">
      <c r="A21" s="8">
        <v>2500</v>
      </c>
      <c r="B21" s="3" t="s">
        <v>27</v>
      </c>
      <c r="C21" s="5">
        <v>-12944</v>
      </c>
      <c r="D21" s="5">
        <v>0</v>
      </c>
      <c r="E21" s="5">
        <v>-12944</v>
      </c>
      <c r="F21" s="3" t="s">
        <v>7</v>
      </c>
      <c r="G21" s="2"/>
    </row>
    <row r="22" spans="1:7" x14ac:dyDescent="0.25">
      <c r="A22" s="8">
        <v>2600</v>
      </c>
      <c r="B22" s="3" t="s">
        <v>28</v>
      </c>
      <c r="C22" s="5">
        <v>-10166</v>
      </c>
      <c r="D22" s="5">
        <v>1278</v>
      </c>
      <c r="E22" s="5">
        <v>-8888</v>
      </c>
      <c r="F22" s="3" t="s">
        <v>7</v>
      </c>
      <c r="G22" s="2"/>
    </row>
    <row r="23" spans="1:7" x14ac:dyDescent="0.25">
      <c r="A23" s="8">
        <v>2701</v>
      </c>
      <c r="B23" s="3" t="s">
        <v>29</v>
      </c>
      <c r="C23" s="5">
        <v>0</v>
      </c>
      <c r="D23" s="5">
        <v>-101741.08</v>
      </c>
      <c r="E23" s="5">
        <v>-101741.08</v>
      </c>
      <c r="F23" s="3" t="s">
        <v>7</v>
      </c>
      <c r="G23" s="2"/>
    </row>
    <row r="24" spans="1:7" x14ac:dyDescent="0.25">
      <c r="A24" s="8">
        <v>2702</v>
      </c>
      <c r="B24" s="3" t="s">
        <v>30</v>
      </c>
      <c r="C24" s="5">
        <v>0</v>
      </c>
      <c r="D24" s="5">
        <v>-267.13</v>
      </c>
      <c r="E24" s="5">
        <v>-267.13</v>
      </c>
      <c r="F24" s="3" t="s">
        <v>7</v>
      </c>
      <c r="G24" s="2"/>
    </row>
    <row r="25" spans="1:7" x14ac:dyDescent="0.25">
      <c r="A25" s="8">
        <v>2703</v>
      </c>
      <c r="B25" s="3" t="s">
        <v>31</v>
      </c>
      <c r="C25" s="5">
        <v>0</v>
      </c>
      <c r="D25" s="5">
        <v>-2047.44</v>
      </c>
      <c r="E25" s="5">
        <v>-2047.44</v>
      </c>
      <c r="F25" s="3" t="s">
        <v>7</v>
      </c>
      <c r="G25" s="2"/>
    </row>
    <row r="26" spans="1:7" x14ac:dyDescent="0.25">
      <c r="A26" s="8">
        <v>2711</v>
      </c>
      <c r="B26" s="3" t="s">
        <v>32</v>
      </c>
      <c r="C26" s="5">
        <v>0</v>
      </c>
      <c r="D26" s="5">
        <v>18632.650000000001</v>
      </c>
      <c r="E26" s="5">
        <v>18632.650000000001</v>
      </c>
      <c r="F26" s="3" t="s">
        <v>7</v>
      </c>
      <c r="G26" s="2"/>
    </row>
    <row r="27" spans="1:7" x14ac:dyDescent="0.25">
      <c r="A27" s="8">
        <v>2712</v>
      </c>
      <c r="B27" s="3" t="s">
        <v>33</v>
      </c>
      <c r="C27" s="5">
        <v>0</v>
      </c>
      <c r="D27" s="5">
        <v>267.13</v>
      </c>
      <c r="E27" s="5">
        <v>267.13</v>
      </c>
      <c r="F27" s="3" t="s">
        <v>7</v>
      </c>
      <c r="G27" s="2"/>
    </row>
    <row r="28" spans="1:7" x14ac:dyDescent="0.25">
      <c r="A28" s="8">
        <v>2714</v>
      </c>
      <c r="B28" s="3" t="s">
        <v>34</v>
      </c>
      <c r="C28" s="5">
        <v>0</v>
      </c>
      <c r="D28" s="5">
        <v>0</v>
      </c>
      <c r="E28" s="5">
        <v>0</v>
      </c>
      <c r="F28" s="3" t="s">
        <v>7</v>
      </c>
      <c r="G28" s="2"/>
    </row>
    <row r="29" spans="1:7" x14ac:dyDescent="0.25">
      <c r="A29" s="8">
        <v>2740</v>
      </c>
      <c r="B29" s="3" t="s">
        <v>35</v>
      </c>
      <c r="C29" s="5">
        <v>-64193</v>
      </c>
      <c r="D29" s="5">
        <v>70204</v>
      </c>
      <c r="E29" s="5">
        <v>6011</v>
      </c>
      <c r="F29" s="3" t="s">
        <v>7</v>
      </c>
      <c r="G29" s="2"/>
    </row>
    <row r="30" spans="1:7" x14ac:dyDescent="0.25">
      <c r="A30" s="8">
        <v>2771</v>
      </c>
      <c r="B30" s="3" t="s">
        <v>36</v>
      </c>
      <c r="C30" s="5">
        <v>-4073</v>
      </c>
      <c r="D30" s="5">
        <v>-584</v>
      </c>
      <c r="E30" s="5">
        <v>-4657</v>
      </c>
      <c r="F30" s="3" t="s">
        <v>7</v>
      </c>
      <c r="G30" s="2"/>
    </row>
    <row r="31" spans="1:7" x14ac:dyDescent="0.25">
      <c r="A31" s="8">
        <v>2785</v>
      </c>
      <c r="B31" s="3" t="s">
        <v>37</v>
      </c>
      <c r="C31" s="5">
        <v>-415.64</v>
      </c>
      <c r="D31" s="5">
        <v>-1614.23</v>
      </c>
      <c r="E31" s="5">
        <v>-2029.87</v>
      </c>
      <c r="F31" s="3" t="s">
        <v>7</v>
      </c>
      <c r="G31" s="2"/>
    </row>
    <row r="32" spans="1:7" x14ac:dyDescent="0.25">
      <c r="A32" s="8">
        <v>2790</v>
      </c>
      <c r="B32" s="3" t="s">
        <v>38</v>
      </c>
      <c r="C32" s="5">
        <v>0</v>
      </c>
      <c r="D32" s="5">
        <v>5720</v>
      </c>
      <c r="E32" s="5">
        <v>5720</v>
      </c>
      <c r="F32" s="3" t="s">
        <v>7</v>
      </c>
      <c r="G32" s="2"/>
    </row>
    <row r="33" spans="1:7" x14ac:dyDescent="0.25">
      <c r="A33" s="8">
        <v>2915</v>
      </c>
      <c r="B33" s="3" t="s">
        <v>39</v>
      </c>
      <c r="C33" s="5">
        <v>-259777.25</v>
      </c>
      <c r="D33" s="5">
        <v>64270.84</v>
      </c>
      <c r="E33" s="5">
        <v>-195506.41</v>
      </c>
      <c r="F33" s="3" t="s">
        <v>7</v>
      </c>
      <c r="G33" s="2"/>
    </row>
    <row r="34" spans="1:7" x14ac:dyDescent="0.25">
      <c r="A34" s="8">
        <v>2916</v>
      </c>
      <c r="B34" s="3" t="s">
        <v>40</v>
      </c>
      <c r="C34" s="5">
        <v>22116.89</v>
      </c>
      <c r="D34" s="5">
        <v>-383747.29</v>
      </c>
      <c r="E34" s="5">
        <v>-361630.4</v>
      </c>
      <c r="F34" s="3" t="s">
        <v>7</v>
      </c>
      <c r="G34" s="2"/>
    </row>
    <row r="35" spans="1:7" x14ac:dyDescent="0.25">
      <c r="A35" s="8">
        <v>2930</v>
      </c>
      <c r="B35" s="3" t="s">
        <v>41</v>
      </c>
      <c r="C35" s="5">
        <v>0</v>
      </c>
      <c r="D35" s="5">
        <v>0</v>
      </c>
      <c r="E35" s="5">
        <v>0</v>
      </c>
      <c r="F35" s="3" t="s">
        <v>7</v>
      </c>
      <c r="G35" s="2"/>
    </row>
    <row r="36" spans="1:7" x14ac:dyDescent="0.25">
      <c r="A36" s="8">
        <v>2941</v>
      </c>
      <c r="B36" s="3" t="s">
        <v>42</v>
      </c>
      <c r="C36" s="5">
        <v>-2947.8</v>
      </c>
      <c r="D36" s="5">
        <v>-11448.48</v>
      </c>
      <c r="E36" s="5">
        <v>-14396.28</v>
      </c>
      <c r="F36" s="3" t="s">
        <v>7</v>
      </c>
      <c r="G36" s="2"/>
    </row>
    <row r="37" spans="1:7" x14ac:dyDescent="0.25">
      <c r="A37" s="8">
        <v>2</v>
      </c>
      <c r="B37" s="3" t="s">
        <v>43</v>
      </c>
      <c r="C37" s="5">
        <v>-703485.43</v>
      </c>
      <c r="D37" s="5">
        <v>-182504.99</v>
      </c>
      <c r="E37" s="5">
        <v>-885990.42</v>
      </c>
      <c r="F37" s="2"/>
      <c r="G37" s="2"/>
    </row>
    <row r="38" spans="1:7" x14ac:dyDescent="0.25">
      <c r="A38" s="8">
        <v>3000</v>
      </c>
      <c r="B38" s="3" t="s">
        <v>44</v>
      </c>
      <c r="C38" s="5">
        <v>0</v>
      </c>
      <c r="D38" s="5">
        <v>-2194421.58</v>
      </c>
      <c r="E38" s="5">
        <v>-2194421.58</v>
      </c>
      <c r="F38" s="3" t="s">
        <v>7</v>
      </c>
      <c r="G38" s="2"/>
    </row>
    <row r="39" spans="1:7" x14ac:dyDescent="0.25">
      <c r="A39" s="8">
        <v>3030</v>
      </c>
      <c r="B39" s="3" t="s">
        <v>45</v>
      </c>
      <c r="C39" s="5">
        <v>0</v>
      </c>
      <c r="D39" s="5">
        <v>-32330.6</v>
      </c>
      <c r="E39" s="5">
        <v>-32330.6</v>
      </c>
      <c r="F39" s="3" t="s">
        <v>7</v>
      </c>
      <c r="G39" s="2"/>
    </row>
    <row r="40" spans="1:7" x14ac:dyDescent="0.25">
      <c r="A40" s="8">
        <v>4000</v>
      </c>
      <c r="B40" s="3" t="s">
        <v>46</v>
      </c>
      <c r="C40" s="5">
        <v>0</v>
      </c>
      <c r="D40" s="5">
        <v>961.96</v>
      </c>
      <c r="E40" s="5">
        <v>961.96</v>
      </c>
      <c r="F40" s="3" t="s">
        <v>7</v>
      </c>
      <c r="G40" s="2"/>
    </row>
    <row r="41" spans="1:7" x14ac:dyDescent="0.25">
      <c r="A41" s="8">
        <v>4060</v>
      </c>
      <c r="B41" s="3" t="s">
        <v>47</v>
      </c>
      <c r="C41" s="5">
        <v>0</v>
      </c>
      <c r="D41" s="5">
        <v>12700.38</v>
      </c>
      <c r="E41" s="5">
        <v>12700.38</v>
      </c>
      <c r="F41" s="3" t="s">
        <v>7</v>
      </c>
      <c r="G41" s="2"/>
    </row>
    <row r="42" spans="1:7" x14ac:dyDescent="0.25">
      <c r="A42" s="8">
        <v>4300</v>
      </c>
      <c r="B42" s="3" t="s">
        <v>48</v>
      </c>
      <c r="C42" s="5">
        <v>0</v>
      </c>
      <c r="D42" s="5">
        <v>1690549.49</v>
      </c>
      <c r="E42" s="5">
        <v>1690549.49</v>
      </c>
      <c r="F42" s="3" t="s">
        <v>7</v>
      </c>
      <c r="G42" s="2"/>
    </row>
    <row r="43" spans="1:7" x14ac:dyDescent="0.25">
      <c r="A43" s="8">
        <v>4330</v>
      </c>
      <c r="B43" s="3" t="s">
        <v>49</v>
      </c>
      <c r="C43" s="5">
        <v>0</v>
      </c>
      <c r="D43" s="5">
        <v>7860.01</v>
      </c>
      <c r="E43" s="5">
        <v>7860.01</v>
      </c>
      <c r="F43" s="3" t="s">
        <v>7</v>
      </c>
      <c r="G43" s="2"/>
    </row>
    <row r="44" spans="1:7" x14ac:dyDescent="0.25">
      <c r="A44" s="8">
        <v>4360</v>
      </c>
      <c r="B44" s="3" t="s">
        <v>50</v>
      </c>
      <c r="C44" s="5">
        <v>0</v>
      </c>
      <c r="D44" s="5">
        <v>21018.15</v>
      </c>
      <c r="E44" s="5">
        <v>21018.15</v>
      </c>
      <c r="F44" s="3" t="s">
        <v>7</v>
      </c>
      <c r="G44" s="2"/>
    </row>
    <row r="45" spans="1:7" x14ac:dyDescent="0.25">
      <c r="A45" s="8">
        <v>4</v>
      </c>
      <c r="B45" s="3" t="s">
        <v>51</v>
      </c>
      <c r="C45" s="5">
        <v>0</v>
      </c>
      <c r="D45" s="5">
        <v>1733089.99</v>
      </c>
      <c r="E45" s="5">
        <v>1733089.99</v>
      </c>
      <c r="F45" s="2"/>
      <c r="G45" s="2"/>
    </row>
    <row r="46" spans="1:7" x14ac:dyDescent="0.25">
      <c r="A46" s="8">
        <v>5001</v>
      </c>
      <c r="B46" s="3" t="s">
        <v>52</v>
      </c>
      <c r="C46" s="5">
        <v>0</v>
      </c>
      <c r="D46" s="5">
        <v>141140</v>
      </c>
      <c r="E46" s="5">
        <v>141140</v>
      </c>
      <c r="F46" s="3" t="s">
        <v>7</v>
      </c>
      <c r="G46" s="2"/>
    </row>
    <row r="47" spans="1:7" x14ac:dyDescent="0.25">
      <c r="A47" s="8">
        <v>5092</v>
      </c>
      <c r="B47" s="3" t="s">
        <v>53</v>
      </c>
      <c r="C47" s="5">
        <v>0</v>
      </c>
      <c r="D47" s="5">
        <v>14396.28</v>
      </c>
      <c r="E47" s="5">
        <v>14396.28</v>
      </c>
      <c r="F47" s="3" t="s">
        <v>7</v>
      </c>
      <c r="G47" s="2"/>
    </row>
    <row r="48" spans="1:7" x14ac:dyDescent="0.25">
      <c r="A48" s="8">
        <v>5401</v>
      </c>
      <c r="B48" s="3" t="s">
        <v>54</v>
      </c>
      <c r="C48" s="5">
        <v>0</v>
      </c>
      <c r="D48" s="5">
        <v>20250.14</v>
      </c>
      <c r="E48" s="5">
        <v>20250.14</v>
      </c>
      <c r="F48" s="3" t="s">
        <v>7</v>
      </c>
      <c r="G48" s="2"/>
    </row>
    <row r="49" spans="1:7" x14ac:dyDescent="0.25">
      <c r="A49" s="8">
        <v>5405</v>
      </c>
      <c r="B49" s="3" t="s">
        <v>55</v>
      </c>
      <c r="C49" s="5">
        <v>0</v>
      </c>
      <c r="D49" s="5">
        <v>2029.87</v>
      </c>
      <c r="E49" s="5">
        <v>2029.87</v>
      </c>
      <c r="F49" s="3" t="s">
        <v>7</v>
      </c>
      <c r="G49" s="2"/>
    </row>
    <row r="50" spans="1:7" x14ac:dyDescent="0.25">
      <c r="A50" s="8">
        <v>5915</v>
      </c>
      <c r="B50" s="3" t="s">
        <v>56</v>
      </c>
      <c r="C50" s="5">
        <v>0</v>
      </c>
      <c r="D50" s="5">
        <v>54</v>
      </c>
      <c r="E50" s="5">
        <v>54</v>
      </c>
      <c r="F50" s="3" t="s">
        <v>7</v>
      </c>
      <c r="G50" s="2"/>
    </row>
    <row r="51" spans="1:7" x14ac:dyDescent="0.25">
      <c r="A51" s="8">
        <v>5950</v>
      </c>
      <c r="B51" s="3" t="s">
        <v>57</v>
      </c>
      <c r="C51" s="5">
        <v>0</v>
      </c>
      <c r="D51" s="5">
        <v>3000</v>
      </c>
      <c r="E51" s="5">
        <v>3000</v>
      </c>
      <c r="F51" s="3" t="s">
        <v>7</v>
      </c>
      <c r="G51" s="2"/>
    </row>
    <row r="52" spans="1:7" x14ac:dyDescent="0.25">
      <c r="A52" s="8">
        <v>5</v>
      </c>
      <c r="B52" s="3" t="s">
        <v>58</v>
      </c>
      <c r="C52" s="5">
        <v>0</v>
      </c>
      <c r="D52" s="5">
        <v>180870.29</v>
      </c>
      <c r="E52" s="5">
        <v>180870.29</v>
      </c>
      <c r="F52" s="2"/>
      <c r="G52" s="2"/>
    </row>
    <row r="53" spans="1:7" x14ac:dyDescent="0.25">
      <c r="A53" s="8">
        <v>6100</v>
      </c>
      <c r="B53" s="3" t="s">
        <v>59</v>
      </c>
      <c r="C53" s="5">
        <v>0</v>
      </c>
      <c r="D53" s="5">
        <v>68102.39</v>
      </c>
      <c r="E53" s="5">
        <v>68102.39</v>
      </c>
      <c r="F53" s="3" t="s">
        <v>7</v>
      </c>
      <c r="G53" s="2"/>
    </row>
    <row r="54" spans="1:7" x14ac:dyDescent="0.25">
      <c r="A54" s="8">
        <v>6300</v>
      </c>
      <c r="B54" s="3" t="s">
        <v>60</v>
      </c>
      <c r="C54" s="5">
        <v>0</v>
      </c>
      <c r="D54" s="5">
        <v>170274.53</v>
      </c>
      <c r="E54" s="5">
        <v>170274.53</v>
      </c>
      <c r="F54" s="3" t="s">
        <v>7</v>
      </c>
      <c r="G54" s="2"/>
    </row>
    <row r="55" spans="1:7" x14ac:dyDescent="0.25">
      <c r="A55" s="8">
        <v>6420</v>
      </c>
      <c r="B55" s="3" t="s">
        <v>61</v>
      </c>
      <c r="C55" s="5">
        <v>0</v>
      </c>
      <c r="D55" s="5">
        <v>8502.43</v>
      </c>
      <c r="E55" s="5">
        <v>8502.43</v>
      </c>
      <c r="F55" s="3" t="s">
        <v>7</v>
      </c>
      <c r="G55" s="2"/>
    </row>
    <row r="56" spans="1:7" x14ac:dyDescent="0.25">
      <c r="A56" s="8">
        <v>6440</v>
      </c>
      <c r="B56" s="3" t="s">
        <v>62</v>
      </c>
      <c r="C56" s="5">
        <v>0</v>
      </c>
      <c r="D56" s="5">
        <v>11403.11</v>
      </c>
      <c r="E56" s="5">
        <v>11403.11</v>
      </c>
      <c r="F56" s="3" t="s">
        <v>7</v>
      </c>
      <c r="G56" s="2"/>
    </row>
    <row r="57" spans="1:7" x14ac:dyDescent="0.25">
      <c r="A57" s="8">
        <v>6500</v>
      </c>
      <c r="B57" s="3" t="s">
        <v>63</v>
      </c>
      <c r="C57" s="5">
        <v>0</v>
      </c>
      <c r="D57" s="5">
        <v>135.19999999999999</v>
      </c>
      <c r="E57" s="5">
        <v>135.19999999999999</v>
      </c>
      <c r="F57" s="3" t="s">
        <v>7</v>
      </c>
      <c r="G57" s="2"/>
    </row>
    <row r="58" spans="1:7" x14ac:dyDescent="0.25">
      <c r="A58" s="8">
        <v>6540</v>
      </c>
      <c r="B58" s="3" t="s">
        <v>64</v>
      </c>
      <c r="C58" s="5">
        <v>0</v>
      </c>
      <c r="D58" s="5">
        <v>16506.2</v>
      </c>
      <c r="E58" s="5">
        <v>16506.2</v>
      </c>
      <c r="F58" s="3" t="s">
        <v>7</v>
      </c>
      <c r="G58" s="2"/>
    </row>
    <row r="59" spans="1:7" x14ac:dyDescent="0.25">
      <c r="A59" s="8">
        <v>6551</v>
      </c>
      <c r="B59" s="3" t="s">
        <v>65</v>
      </c>
      <c r="C59" s="5">
        <v>0</v>
      </c>
      <c r="D59" s="5">
        <v>12312</v>
      </c>
      <c r="E59" s="5">
        <v>12312</v>
      </c>
      <c r="F59" s="3" t="s">
        <v>7</v>
      </c>
      <c r="G59" s="2"/>
    </row>
    <row r="60" spans="1:7" x14ac:dyDescent="0.25">
      <c r="A60" s="8">
        <v>6553</v>
      </c>
      <c r="B60" s="3" t="s">
        <v>66</v>
      </c>
      <c r="C60" s="5">
        <v>0</v>
      </c>
      <c r="D60" s="5">
        <v>10091.59</v>
      </c>
      <c r="E60" s="5">
        <v>10091.59</v>
      </c>
      <c r="F60" s="3" t="s">
        <v>7</v>
      </c>
      <c r="G60" s="2"/>
    </row>
    <row r="61" spans="1:7" x14ac:dyDescent="0.25">
      <c r="A61" s="8">
        <v>6560</v>
      </c>
      <c r="B61" s="3" t="s">
        <v>67</v>
      </c>
      <c r="C61" s="5">
        <v>0</v>
      </c>
      <c r="D61" s="5">
        <v>1028.4000000000001</v>
      </c>
      <c r="E61" s="5">
        <v>1028.4000000000001</v>
      </c>
      <c r="F61" s="3" t="s">
        <v>7</v>
      </c>
      <c r="G61" s="2"/>
    </row>
    <row r="62" spans="1:7" x14ac:dyDescent="0.25">
      <c r="A62" s="8">
        <v>6590</v>
      </c>
      <c r="B62" s="3" t="s">
        <v>68</v>
      </c>
      <c r="C62" s="5">
        <v>0</v>
      </c>
      <c r="D62" s="5">
        <v>485</v>
      </c>
      <c r="E62" s="5">
        <v>485</v>
      </c>
      <c r="F62" s="3" t="s">
        <v>7</v>
      </c>
      <c r="G62" s="2"/>
    </row>
    <row r="63" spans="1:7" x14ac:dyDescent="0.25">
      <c r="A63" s="8">
        <v>6705</v>
      </c>
      <c r="B63" s="3" t="s">
        <v>69</v>
      </c>
      <c r="C63" s="5">
        <v>0</v>
      </c>
      <c r="D63" s="5">
        <v>4520</v>
      </c>
      <c r="E63" s="5">
        <v>4520</v>
      </c>
      <c r="F63" s="3" t="s">
        <v>7</v>
      </c>
      <c r="G63" s="2"/>
    </row>
    <row r="64" spans="1:7" x14ac:dyDescent="0.25">
      <c r="A64" s="8">
        <v>6800</v>
      </c>
      <c r="B64" s="3" t="s">
        <v>70</v>
      </c>
      <c r="C64" s="5">
        <v>0</v>
      </c>
      <c r="D64" s="5">
        <v>13936.28</v>
      </c>
      <c r="E64" s="5">
        <v>13936.28</v>
      </c>
      <c r="F64" s="3" t="s">
        <v>7</v>
      </c>
      <c r="G64" s="2"/>
    </row>
    <row r="65" spans="1:7" x14ac:dyDescent="0.25">
      <c r="A65" s="8">
        <v>6901</v>
      </c>
      <c r="B65" s="3" t="s">
        <v>71</v>
      </c>
      <c r="C65" s="5">
        <v>0</v>
      </c>
      <c r="D65" s="5">
        <v>29630.65</v>
      </c>
      <c r="E65" s="5">
        <v>29630.65</v>
      </c>
      <c r="F65" s="3" t="s">
        <v>7</v>
      </c>
      <c r="G65" s="2"/>
    </row>
    <row r="66" spans="1:7" x14ac:dyDescent="0.25">
      <c r="A66" s="8">
        <v>6907</v>
      </c>
      <c r="B66" s="3" t="s">
        <v>72</v>
      </c>
      <c r="C66" s="5">
        <v>0</v>
      </c>
      <c r="D66" s="5">
        <v>4890.6000000000004</v>
      </c>
      <c r="E66" s="5">
        <v>4890.6000000000004</v>
      </c>
      <c r="F66" s="3" t="s">
        <v>7</v>
      </c>
      <c r="G66" s="2"/>
    </row>
    <row r="67" spans="1:7" x14ac:dyDescent="0.25">
      <c r="A67" s="8">
        <v>6</v>
      </c>
      <c r="B67" s="3" t="s">
        <v>73</v>
      </c>
      <c r="C67" s="5">
        <v>0</v>
      </c>
      <c r="D67" s="5">
        <v>351818.38</v>
      </c>
      <c r="E67" s="5">
        <v>351818.38</v>
      </c>
      <c r="F67" s="2"/>
      <c r="G67" s="2"/>
    </row>
    <row r="68" spans="1:7" x14ac:dyDescent="0.25">
      <c r="A68" s="8">
        <v>7140</v>
      </c>
      <c r="B68" s="3" t="s">
        <v>74</v>
      </c>
      <c r="C68" s="5">
        <v>0</v>
      </c>
      <c r="D68" s="5">
        <v>3862.25</v>
      </c>
      <c r="E68" s="5">
        <v>3862.25</v>
      </c>
      <c r="F68" s="3" t="s">
        <v>7</v>
      </c>
      <c r="G68" s="2"/>
    </row>
    <row r="69" spans="1:7" x14ac:dyDescent="0.25">
      <c r="A69" s="8">
        <v>7321</v>
      </c>
      <c r="B69" s="3" t="s">
        <v>75</v>
      </c>
      <c r="C69" s="5">
        <v>0</v>
      </c>
      <c r="D69" s="5">
        <v>6938.91</v>
      </c>
      <c r="E69" s="5">
        <v>6938.91</v>
      </c>
      <c r="F69" s="3" t="s">
        <v>7</v>
      </c>
      <c r="G69" s="2"/>
    </row>
    <row r="70" spans="1:7" x14ac:dyDescent="0.25">
      <c r="A70" s="8">
        <v>7740</v>
      </c>
      <c r="B70" s="3" t="s">
        <v>76</v>
      </c>
      <c r="C70" s="5">
        <v>0</v>
      </c>
      <c r="D70" s="5">
        <v>-3.07</v>
      </c>
      <c r="E70" s="5">
        <v>-3.07</v>
      </c>
      <c r="F70" s="3" t="s">
        <v>7</v>
      </c>
      <c r="G70" s="2"/>
    </row>
    <row r="71" spans="1:7" x14ac:dyDescent="0.25">
      <c r="A71" s="8">
        <v>7770</v>
      </c>
      <c r="B71" s="3" t="s">
        <v>77</v>
      </c>
      <c r="C71" s="5">
        <v>0</v>
      </c>
      <c r="D71" s="5">
        <v>6612.73</v>
      </c>
      <c r="E71" s="5">
        <v>6612.73</v>
      </c>
      <c r="F71" s="3" t="s">
        <v>7</v>
      </c>
      <c r="G71" s="2"/>
    </row>
    <row r="72" spans="1:7" x14ac:dyDescent="0.25">
      <c r="A72" s="8">
        <v>7772</v>
      </c>
      <c r="B72" s="3" t="s">
        <v>78</v>
      </c>
      <c r="C72" s="5">
        <v>0</v>
      </c>
      <c r="D72" s="5">
        <v>7580.43</v>
      </c>
      <c r="E72" s="5">
        <v>7580.43</v>
      </c>
      <c r="F72" s="3" t="s">
        <v>7</v>
      </c>
      <c r="G72" s="2"/>
    </row>
    <row r="73" spans="1:7" x14ac:dyDescent="0.25">
      <c r="A73" s="8">
        <v>7798</v>
      </c>
      <c r="B73" s="3" t="s">
        <v>79</v>
      </c>
      <c r="C73" s="5">
        <v>0</v>
      </c>
      <c r="D73" s="5">
        <v>1314.3</v>
      </c>
      <c r="E73" s="5">
        <v>1314.3</v>
      </c>
      <c r="F73" s="3" t="s">
        <v>7</v>
      </c>
      <c r="G73" s="2"/>
    </row>
    <row r="74" spans="1:7" x14ac:dyDescent="0.25">
      <c r="A74" s="8">
        <v>7</v>
      </c>
      <c r="B74" s="3" t="s">
        <v>73</v>
      </c>
      <c r="C74" s="5">
        <v>0</v>
      </c>
      <c r="D74" s="5">
        <v>26305.55</v>
      </c>
      <c r="E74" s="5">
        <v>26305.55</v>
      </c>
      <c r="F74" s="2"/>
      <c r="G74" s="2"/>
    </row>
    <row r="75" spans="1:7" x14ac:dyDescent="0.25">
      <c r="A75" s="8">
        <v>8051</v>
      </c>
      <c r="B75" s="3" t="s">
        <v>80</v>
      </c>
      <c r="C75" s="5">
        <v>0</v>
      </c>
      <c r="D75" s="5">
        <v>-130</v>
      </c>
      <c r="E75" s="5">
        <v>-130</v>
      </c>
      <c r="F75" s="3" t="s">
        <v>7</v>
      </c>
      <c r="G75" s="2"/>
    </row>
    <row r="76" spans="1:7" x14ac:dyDescent="0.25">
      <c r="A76" s="8">
        <v>8060</v>
      </c>
      <c r="B76" s="3" t="s">
        <v>81</v>
      </c>
      <c r="C76" s="5">
        <v>0</v>
      </c>
      <c r="D76" s="5">
        <v>-50442.57</v>
      </c>
      <c r="E76" s="5">
        <v>-50442.57</v>
      </c>
      <c r="F76" s="3" t="s">
        <v>7</v>
      </c>
      <c r="G76" s="2"/>
    </row>
    <row r="77" spans="1:7" x14ac:dyDescent="0.25">
      <c r="A77" s="8">
        <v>8140</v>
      </c>
      <c r="B77" s="3" t="s">
        <v>82</v>
      </c>
      <c r="C77" s="5">
        <v>0</v>
      </c>
      <c r="D77" s="5">
        <v>13212</v>
      </c>
      <c r="E77" s="5">
        <v>13212</v>
      </c>
      <c r="F77" s="3" t="s">
        <v>7</v>
      </c>
      <c r="G77" s="2"/>
    </row>
    <row r="78" spans="1:7" x14ac:dyDescent="0.25">
      <c r="A78" s="8">
        <v>8155</v>
      </c>
      <c r="B78" s="3" t="s">
        <v>83</v>
      </c>
      <c r="C78" s="5">
        <v>0</v>
      </c>
      <c r="D78" s="5">
        <v>87</v>
      </c>
      <c r="E78" s="5">
        <v>87</v>
      </c>
      <c r="F78" s="3" t="s">
        <v>7</v>
      </c>
      <c r="G78" s="2"/>
    </row>
    <row r="79" spans="1:7" x14ac:dyDescent="0.25">
      <c r="A79" s="8">
        <v>8159</v>
      </c>
      <c r="B79" s="3" t="s">
        <v>84</v>
      </c>
      <c r="C79" s="5">
        <v>0</v>
      </c>
      <c r="D79" s="5">
        <v>91120.67</v>
      </c>
      <c r="E79" s="5">
        <v>91120.67</v>
      </c>
      <c r="F79" s="3" t="s">
        <v>7</v>
      </c>
      <c r="G79" s="2"/>
    </row>
    <row r="80" spans="1:7" x14ac:dyDescent="0.25">
      <c r="A80" s="8">
        <v>8160</v>
      </c>
      <c r="B80" s="3" t="s">
        <v>85</v>
      </c>
      <c r="C80" s="5">
        <v>0</v>
      </c>
      <c r="D80" s="5">
        <v>17553.650000000001</v>
      </c>
      <c r="E80" s="5">
        <v>17553.650000000001</v>
      </c>
      <c r="F80" s="3" t="s">
        <v>7</v>
      </c>
      <c r="G80" s="2"/>
    </row>
    <row r="81" spans="1:7" x14ac:dyDescent="0.25">
      <c r="A81" s="8">
        <v>8309</v>
      </c>
      <c r="B81" s="3" t="s">
        <v>86</v>
      </c>
      <c r="C81" s="5">
        <v>0</v>
      </c>
      <c r="D81" s="5">
        <v>-5314</v>
      </c>
      <c r="E81" s="5">
        <v>-5314</v>
      </c>
      <c r="F81" s="3" t="s">
        <v>7</v>
      </c>
      <c r="G81" s="2"/>
    </row>
    <row r="82" spans="1:7" x14ac:dyDescent="0.25">
      <c r="A82" s="8">
        <v>8</v>
      </c>
      <c r="B82" s="3" t="s">
        <v>87</v>
      </c>
      <c r="C82" s="5">
        <v>0</v>
      </c>
      <c r="D82" s="5">
        <v>66086.75</v>
      </c>
      <c r="E82" s="5">
        <v>66086.75</v>
      </c>
      <c r="F82" s="2"/>
      <c r="G82" s="2"/>
    </row>
  </sheetData>
  <autoFilter ref="A2:F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Resultat pr. 31 10 2025 </vt:lpstr>
      <vt:lpstr>Saldobalanse-31.10.2025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Svein Skorpen</cp:lastModifiedBy>
  <dcterms:created xsi:type="dcterms:W3CDTF">2025-12-05T08:41:35Z</dcterms:created>
  <dcterms:modified xsi:type="dcterms:W3CDTF">2025-12-05T08:47:42Z</dcterms:modified>
</cp:coreProperties>
</file>