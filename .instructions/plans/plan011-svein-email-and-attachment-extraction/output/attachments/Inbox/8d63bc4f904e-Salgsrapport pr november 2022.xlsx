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finitas.sharepoint.com/sites/administrasjon/Delte dokumenter/01 Styrearbeid/11 Styrefeferat/2022/20222012/"/>
    </mc:Choice>
  </mc:AlternateContent>
  <xr:revisionPtr revIDLastSave="0" documentId="8_{3CC62E21-BF37-46F5-B3DA-289F1A98B1AE}" xr6:coauthVersionLast="47" xr6:coauthVersionMax="47" xr10:uidLastSave="{00000000-0000-0000-0000-000000000000}"/>
  <bookViews>
    <workbookView xWindow="-110" yWindow="-110" windowWidth="38620" windowHeight="21220" xr2:uid="{A832CB10-EBC4-457F-88AB-DDEBD69B4A9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1" l="1"/>
  <c r="I54" i="1" s="1"/>
  <c r="D54" i="1"/>
  <c r="E54" i="1" s="1"/>
  <c r="H53" i="1"/>
  <c r="I53" i="1" s="1"/>
  <c r="D53" i="1"/>
  <c r="E53" i="1" s="1"/>
  <c r="H52" i="1"/>
  <c r="I52" i="1" s="1"/>
  <c r="D52" i="1"/>
  <c r="E52" i="1" s="1"/>
  <c r="G55" i="1"/>
  <c r="H51" i="1"/>
  <c r="C55" i="1"/>
  <c r="B55" i="1"/>
  <c r="D55" i="1" s="1"/>
  <c r="E55" i="1" s="1"/>
  <c r="H11" i="1"/>
  <c r="I11" i="1" s="1"/>
  <c r="D11" i="1"/>
  <c r="E11" i="1" s="1"/>
  <c r="H10" i="1"/>
  <c r="I10" i="1" s="1"/>
  <c r="D10" i="1"/>
  <c r="E10" i="1" s="1"/>
  <c r="H9" i="1"/>
  <c r="I9" i="1" s="1"/>
  <c r="D9" i="1"/>
  <c r="E9" i="1" s="1"/>
  <c r="H8" i="1"/>
  <c r="I8" i="1" s="1"/>
  <c r="D8" i="1"/>
  <c r="E8" i="1" s="1"/>
  <c r="H7" i="1"/>
  <c r="I7" i="1" s="1"/>
  <c r="D7" i="1"/>
  <c r="E7" i="1" s="1"/>
  <c r="H6" i="1"/>
  <c r="I6" i="1" s="1"/>
  <c r="D6" i="1"/>
  <c r="E6" i="1" s="1"/>
  <c r="H5" i="1"/>
  <c r="I5" i="1" s="1"/>
  <c r="D5" i="1"/>
  <c r="E5" i="1" s="1"/>
  <c r="G12" i="1"/>
  <c r="H4" i="1"/>
  <c r="C12" i="1"/>
  <c r="B12" i="1"/>
  <c r="I4" i="1" l="1"/>
  <c r="H12" i="1"/>
  <c r="I12" i="1" s="1"/>
  <c r="I51" i="1"/>
  <c r="H55" i="1"/>
  <c r="I55" i="1" s="1"/>
  <c r="F12" i="1"/>
  <c r="D4" i="1"/>
  <c r="D51" i="1"/>
  <c r="E51" i="1" s="1"/>
  <c r="F55" i="1"/>
  <c r="E4" i="1" l="1"/>
  <c r="D12" i="1"/>
  <c r="E12" i="1" s="1"/>
</calcChain>
</file>

<file path=xl/sharedStrings.xml><?xml version="1.0" encoding="utf-8"?>
<sst xmlns="http://schemas.openxmlformats.org/spreadsheetml/2006/main" count="37" uniqueCount="24">
  <si>
    <t>Salgsrapport pr mnd Definit AS 2022</t>
  </si>
  <si>
    <t>November</t>
  </si>
  <si>
    <t>Denne periode</t>
  </si>
  <si>
    <t>Akkumulert</t>
  </si>
  <si>
    <t>Varegruppe</t>
  </si>
  <si>
    <t>Resultat</t>
  </si>
  <si>
    <t>Budsjett</t>
  </si>
  <si>
    <t>Avvik kr</t>
  </si>
  <si>
    <t>Avvik %</t>
  </si>
  <si>
    <t>10-Etablering</t>
  </si>
  <si>
    <t>15-Lisenser</t>
  </si>
  <si>
    <t>20-Support</t>
  </si>
  <si>
    <t>25-Timer</t>
  </si>
  <si>
    <t>25-Timer externt</t>
  </si>
  <si>
    <t>30-Hardware</t>
  </si>
  <si>
    <t>85-Utg frakt, reise, km</t>
  </si>
  <si>
    <t>90-Garantier/Provisjon</t>
  </si>
  <si>
    <t>Totalt</t>
  </si>
  <si>
    <t>Timesalg pr mnd Definit AS 2021</t>
  </si>
  <si>
    <t>Timer</t>
  </si>
  <si>
    <t>Utvikling</t>
  </si>
  <si>
    <t>Ansatte</t>
  </si>
  <si>
    <t>Innleid</t>
  </si>
  <si>
    <t>Konsulentoppdrag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</si>
</sst>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1" xfId="0" applyFont="1" applyFill="1" applyBorder="1"/>
    <xf numFmtId="0" fontId="1" fillId="3" borderId="3" xfId="0" applyFont="1" applyFill="1" applyBorder="1"/>
    <xf numFmtId="0" fontId="1" fillId="4" borderId="1" xfId="0" applyFont="1" applyFill="1" applyBorder="1"/>
    <xf numFmtId="0" fontId="1" fillId="4" borderId="3" xfId="0" applyFont="1" applyFill="1" applyBorder="1"/>
    <xf numFmtId="0" fontId="0" fillId="0" borderId="7" xfId="0" applyBorder="1"/>
    <xf numFmtId="3" fontId="0" fillId="0" borderId="8" xfId="0" applyNumberFormat="1" applyBorder="1"/>
    <xf numFmtId="3" fontId="0" fillId="0" borderId="9" xfId="0" applyNumberFormat="1" applyBorder="1"/>
    <xf numFmtId="4" fontId="0" fillId="0" borderId="10" xfId="0" applyNumberFormat="1" applyBorder="1"/>
    <xf numFmtId="0" fontId="0" fillId="0" borderId="11" xfId="0" applyBorder="1"/>
    <xf numFmtId="3" fontId="0" fillId="0" borderId="12" xfId="0" applyNumberFormat="1" applyBorder="1"/>
    <xf numFmtId="4" fontId="0" fillId="0" borderId="13" xfId="0" applyNumberFormat="1" applyBorder="1"/>
    <xf numFmtId="0" fontId="0" fillId="0" borderId="14" xfId="0" applyBorder="1"/>
    <xf numFmtId="3" fontId="0" fillId="0" borderId="15" xfId="0" applyNumberFormat="1" applyBorder="1"/>
    <xf numFmtId="4" fontId="0" fillId="0" borderId="16" xfId="0" applyNumberFormat="1" applyBorder="1"/>
    <xf numFmtId="3" fontId="1" fillId="0" borderId="1" xfId="0" applyNumberFormat="1" applyFont="1" applyBorder="1"/>
    <xf numFmtId="3" fontId="1" fillId="0" borderId="3" xfId="0" applyNumberFormat="1" applyFont="1" applyBorder="1"/>
    <xf numFmtId="4" fontId="1" fillId="0" borderId="3" xfId="0" applyNumberFormat="1" applyFont="1" applyBorder="1"/>
    <xf numFmtId="3" fontId="0" fillId="0" borderId="0" xfId="0" applyNumberFormat="1"/>
    <xf numFmtId="0" fontId="0" fillId="0" borderId="17" xfId="0" applyBorder="1"/>
    <xf numFmtId="3" fontId="0" fillId="0" borderId="18" xfId="0" applyNumberFormat="1" applyBorder="1"/>
    <xf numFmtId="3" fontId="0" fillId="0" borderId="10" xfId="0" applyNumberFormat="1" applyBorder="1"/>
    <xf numFmtId="3" fontId="0" fillId="0" borderId="19" xfId="0" applyNumberFormat="1" applyBorder="1"/>
    <xf numFmtId="3" fontId="0" fillId="0" borderId="13" xfId="0" applyNumberFormat="1" applyBorder="1"/>
    <xf numFmtId="3" fontId="0" fillId="0" borderId="20" xfId="0" applyNumberFormat="1" applyBorder="1"/>
    <xf numFmtId="3" fontId="0" fillId="0" borderId="16" xfId="0" applyNumberFormat="1" applyBorder="1"/>
    <xf numFmtId="0" fontId="0" fillId="0" borderId="4" xfId="0" applyBorder="1"/>
    <xf numFmtId="3" fontId="0" fillId="0" borderId="1" xfId="0" applyNumberFormat="1" applyBorder="1"/>
    <xf numFmtId="3" fontId="0" fillId="0" borderId="3" xfId="0" applyNumberFormat="1" applyBorder="1"/>
    <xf numFmtId="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2ADA-7CD0-4FEF-A015-7509E32C1B49}">
  <dimension ref="A1:P59"/>
  <sheetViews>
    <sheetView tabSelected="1" zoomScale="200" zoomScaleNormal="200" workbookViewId="0">
      <selection activeCell="A5" sqref="A5"/>
    </sheetView>
  </sheetViews>
  <sheetFormatPr baseColWidth="10" defaultRowHeight="14.5" x14ac:dyDescent="0.35"/>
  <cols>
    <col min="1" max="1" width="19.81640625" bestFit="1" customWidth="1"/>
    <col min="2" max="3" width="7.81640625" bestFit="1" customWidth="1"/>
    <col min="4" max="4" width="8.1796875" bestFit="1" customWidth="1"/>
    <col min="5" max="5" width="7.1796875" bestFit="1" customWidth="1"/>
    <col min="6" max="7" width="9.453125" bestFit="1" customWidth="1"/>
    <col min="8" max="8" width="8.453125" bestFit="1" customWidth="1"/>
    <col min="9" max="9" width="7.1796875" bestFit="1" customWidth="1"/>
  </cols>
  <sheetData>
    <row r="1" spans="1:9" ht="19" thickBot="1" x14ac:dyDescent="0.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ht="15" thickBot="1" x14ac:dyDescent="0.4">
      <c r="A2" s="4" t="s">
        <v>1</v>
      </c>
      <c r="B2" s="5" t="s">
        <v>2</v>
      </c>
      <c r="C2" s="6"/>
      <c r="D2" s="6"/>
      <c r="E2" s="7"/>
      <c r="F2" s="8" t="s">
        <v>3</v>
      </c>
      <c r="G2" s="9"/>
      <c r="H2" s="9"/>
      <c r="I2" s="9"/>
    </row>
    <row r="3" spans="1:9" ht="15" thickBot="1" x14ac:dyDescent="0.4">
      <c r="A3" s="4" t="s">
        <v>4</v>
      </c>
      <c r="B3" s="10" t="s">
        <v>5</v>
      </c>
      <c r="C3" s="11" t="s">
        <v>6</v>
      </c>
      <c r="D3" s="10" t="s">
        <v>7</v>
      </c>
      <c r="E3" s="11" t="s">
        <v>8</v>
      </c>
      <c r="F3" s="12" t="s">
        <v>5</v>
      </c>
      <c r="G3" s="13" t="s">
        <v>6</v>
      </c>
      <c r="H3" s="12" t="s">
        <v>7</v>
      </c>
      <c r="I3" s="13" t="s">
        <v>8</v>
      </c>
    </row>
    <row r="4" spans="1:9" x14ac:dyDescent="0.35">
      <c r="A4" s="14" t="s">
        <v>9</v>
      </c>
      <c r="B4" s="15">
        <v>0</v>
      </c>
      <c r="C4" s="15">
        <v>5925</v>
      </c>
      <c r="D4" s="16">
        <f t="shared" ref="D4:D11" si="0">B4-C4</f>
        <v>-5925</v>
      </c>
      <c r="E4" s="17">
        <f>IFERROR(D4*100/C4,"")</f>
        <v>-100</v>
      </c>
      <c r="F4" s="15">
        <v>36052</v>
      </c>
      <c r="G4" s="15">
        <v>104980</v>
      </c>
      <c r="H4" s="16">
        <f t="shared" ref="H4:H11" si="1">F4-G4</f>
        <v>-68928</v>
      </c>
      <c r="I4" s="17">
        <f>IFERROR(H4*100/G4,"")</f>
        <v>-65.658220613450183</v>
      </c>
    </row>
    <row r="5" spans="1:9" x14ac:dyDescent="0.35">
      <c r="A5" s="18" t="s">
        <v>10</v>
      </c>
      <c r="B5" s="15">
        <v>120595</v>
      </c>
      <c r="C5" s="15">
        <v>131618</v>
      </c>
      <c r="D5" s="19">
        <f t="shared" si="0"/>
        <v>-11023</v>
      </c>
      <c r="E5" s="20">
        <f t="shared" ref="E5:E11" si="2">IFERROR(D5*100/C5,"")</f>
        <v>-8.3749943016912578</v>
      </c>
      <c r="F5" s="15">
        <v>1318725</v>
      </c>
      <c r="G5" s="15">
        <v>1392600</v>
      </c>
      <c r="H5" s="19">
        <f t="shared" si="1"/>
        <v>-73875</v>
      </c>
      <c r="I5" s="20">
        <f t="shared" ref="I5:I12" si="3">IFERROR(H5*100/G5,"")</f>
        <v>-5.3048255062473073</v>
      </c>
    </row>
    <row r="6" spans="1:9" x14ac:dyDescent="0.35">
      <c r="A6" s="18" t="s">
        <v>11</v>
      </c>
      <c r="B6" s="15">
        <v>217134.66666666666</v>
      </c>
      <c r="C6" s="15">
        <v>221727</v>
      </c>
      <c r="D6" s="19">
        <f t="shared" si="0"/>
        <v>-4592.333333333343</v>
      </c>
      <c r="E6" s="20">
        <f t="shared" si="2"/>
        <v>-2.0711655925229415</v>
      </c>
      <c r="F6" s="15">
        <v>2375018.666666667</v>
      </c>
      <c r="G6" s="15">
        <v>2404262</v>
      </c>
      <c r="H6" s="19">
        <f t="shared" si="1"/>
        <v>-29243.333333333023</v>
      </c>
      <c r="I6" s="20">
        <f t="shared" si="3"/>
        <v>-1.2163122543771445</v>
      </c>
    </row>
    <row r="7" spans="1:9" x14ac:dyDescent="0.35">
      <c r="A7" s="18" t="s">
        <v>12</v>
      </c>
      <c r="B7" s="15">
        <v>23022</v>
      </c>
      <c r="C7" s="15">
        <v>78000</v>
      </c>
      <c r="D7" s="19">
        <f t="shared" si="0"/>
        <v>-54978</v>
      </c>
      <c r="E7" s="20">
        <f t="shared" si="2"/>
        <v>-70.484615384615381</v>
      </c>
      <c r="F7" s="15">
        <v>298346</v>
      </c>
      <c r="G7" s="15">
        <v>539500</v>
      </c>
      <c r="H7" s="19">
        <f t="shared" si="1"/>
        <v>-241154</v>
      </c>
      <c r="I7" s="20">
        <f t="shared" si="3"/>
        <v>-44.699536607970344</v>
      </c>
    </row>
    <row r="8" spans="1:9" x14ac:dyDescent="0.35">
      <c r="A8" s="18" t="s">
        <v>13</v>
      </c>
      <c r="B8" s="15">
        <v>0</v>
      </c>
      <c r="C8" s="15">
        <v>9100</v>
      </c>
      <c r="D8" s="19">
        <f>B8-C8</f>
        <v>-9100</v>
      </c>
      <c r="E8" s="20">
        <f>IFERROR(D8*100/C8,"")</f>
        <v>-100</v>
      </c>
      <c r="F8" s="15">
        <v>0</v>
      </c>
      <c r="G8" s="15">
        <v>100100</v>
      </c>
      <c r="H8" s="19">
        <f>F8-G8</f>
        <v>-100100</v>
      </c>
      <c r="I8" s="20">
        <f>IFERROR(H8*100/G8,"")</f>
        <v>-100</v>
      </c>
    </row>
    <row r="9" spans="1:9" x14ac:dyDescent="0.35">
      <c r="A9" s="18" t="s">
        <v>14</v>
      </c>
      <c r="B9" s="15">
        <v>192515.72880680999</v>
      </c>
      <c r="C9" s="15">
        <v>30000</v>
      </c>
      <c r="D9" s="19">
        <f t="shared" si="0"/>
        <v>162515.72880680999</v>
      </c>
      <c r="E9" s="20">
        <f t="shared" si="2"/>
        <v>541.7190960227</v>
      </c>
      <c r="F9" s="15">
        <v>679627.11008056998</v>
      </c>
      <c r="G9" s="15">
        <v>390000</v>
      </c>
      <c r="H9" s="19">
        <f t="shared" si="1"/>
        <v>289627.11008056998</v>
      </c>
      <c r="I9" s="20">
        <f t="shared" si="3"/>
        <v>74.263361559120511</v>
      </c>
    </row>
    <row r="10" spans="1:9" x14ac:dyDescent="0.35">
      <c r="A10" s="18" t="s">
        <v>15</v>
      </c>
      <c r="B10" s="15">
        <v>12287</v>
      </c>
      <c r="C10" s="15">
        <v>2500</v>
      </c>
      <c r="D10" s="19">
        <f t="shared" si="0"/>
        <v>9787</v>
      </c>
      <c r="E10" s="20">
        <f t="shared" si="2"/>
        <v>391.48</v>
      </c>
      <c r="F10" s="15">
        <v>100407.58</v>
      </c>
      <c r="G10" s="15">
        <v>27500</v>
      </c>
      <c r="H10" s="19">
        <f t="shared" si="1"/>
        <v>72907.58</v>
      </c>
      <c r="I10" s="20">
        <f t="shared" si="3"/>
        <v>265.11847272727272</v>
      </c>
    </row>
    <row r="11" spans="1:9" ht="15" thickBot="1" x14ac:dyDescent="0.4">
      <c r="A11" s="21" t="s">
        <v>16</v>
      </c>
      <c r="B11" s="15">
        <v>0</v>
      </c>
      <c r="C11" s="15">
        <v>0</v>
      </c>
      <c r="D11" s="22">
        <f t="shared" si="0"/>
        <v>0</v>
      </c>
      <c r="E11" s="23" t="str">
        <f t="shared" si="2"/>
        <v/>
      </c>
      <c r="F11" s="15">
        <v>23729.759999999998</v>
      </c>
      <c r="G11" s="15">
        <v>13800</v>
      </c>
      <c r="H11" s="22">
        <f t="shared" si="1"/>
        <v>9929.7599999999984</v>
      </c>
      <c r="I11" s="23">
        <f t="shared" si="3"/>
        <v>71.954782608695638</v>
      </c>
    </row>
    <row r="12" spans="1:9" ht="15" thickBot="1" x14ac:dyDescent="0.4">
      <c r="A12" s="4" t="s">
        <v>17</v>
      </c>
      <c r="B12" s="24">
        <f>SUM(B4:B11)</f>
        <v>565554.39547347662</v>
      </c>
      <c r="C12" s="25">
        <f>SUM(C4:C11)</f>
        <v>478870</v>
      </c>
      <c r="D12" s="24">
        <f>SUM(D4:D11)</f>
        <v>86684.395473476645</v>
      </c>
      <c r="E12" s="26">
        <f>D12*100/C12</f>
        <v>18.10186386148154</v>
      </c>
      <c r="F12" s="24">
        <f>SUM(F4:F11)</f>
        <v>4831906.1167472368</v>
      </c>
      <c r="G12" s="25">
        <f>SUM(G4:G11)</f>
        <v>4972742</v>
      </c>
      <c r="H12" s="24">
        <f>SUM(H4:H11)</f>
        <v>-140835.88325276301</v>
      </c>
      <c r="I12" s="26">
        <f t="shared" si="3"/>
        <v>-2.8321574546349484</v>
      </c>
    </row>
    <row r="13" spans="1:9" x14ac:dyDescent="0.35">
      <c r="B13" s="27"/>
      <c r="C13" s="27"/>
      <c r="D13" s="27"/>
      <c r="E13" s="27"/>
      <c r="F13" s="27"/>
      <c r="G13" s="27"/>
      <c r="H13" s="27"/>
    </row>
    <row r="14" spans="1:9" x14ac:dyDescent="0.35">
      <c r="B14" s="27"/>
      <c r="C14" s="27"/>
      <c r="D14" s="27"/>
      <c r="E14" s="27"/>
      <c r="F14" s="27"/>
      <c r="G14" s="27"/>
      <c r="H14" s="27"/>
    </row>
    <row r="15" spans="1:9" x14ac:dyDescent="0.35">
      <c r="B15" s="27"/>
      <c r="C15" s="27"/>
      <c r="D15" s="27"/>
      <c r="E15" s="27"/>
      <c r="F15" s="27"/>
      <c r="G15" s="27"/>
      <c r="H15" s="27"/>
    </row>
    <row r="16" spans="1:9" x14ac:dyDescent="0.35">
      <c r="B16" s="27"/>
      <c r="C16" s="27"/>
      <c r="D16" s="27"/>
      <c r="E16" s="27"/>
      <c r="F16" s="27"/>
      <c r="G16" s="27"/>
      <c r="H16" s="27"/>
    </row>
    <row r="17" spans="2:16" x14ac:dyDescent="0.35">
      <c r="B17" s="27"/>
      <c r="C17" s="27"/>
      <c r="D17" s="27"/>
      <c r="E17" s="27"/>
      <c r="F17" s="27"/>
      <c r="G17" s="27"/>
      <c r="H17" s="27"/>
    </row>
    <row r="18" spans="2:16" x14ac:dyDescent="0.35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2:16" x14ac:dyDescent="0.35">
      <c r="B19" s="27"/>
      <c r="C19" s="27"/>
      <c r="D19" s="27"/>
      <c r="E19" s="27"/>
      <c r="F19" s="27"/>
      <c r="G19" s="27"/>
      <c r="H19" s="27"/>
    </row>
    <row r="20" spans="2:16" x14ac:dyDescent="0.35">
      <c r="B20" s="27"/>
      <c r="C20" s="27"/>
      <c r="D20" s="27"/>
      <c r="E20" s="27"/>
      <c r="F20" s="27"/>
      <c r="G20" s="27"/>
      <c r="H20" s="27"/>
    </row>
    <row r="21" spans="2:16" x14ac:dyDescent="0.35">
      <c r="B21" s="27"/>
      <c r="C21" s="27"/>
      <c r="D21" s="27"/>
      <c r="E21" s="27"/>
      <c r="F21" s="27"/>
      <c r="G21" s="27"/>
      <c r="H21" s="27"/>
    </row>
    <row r="22" spans="2:16" x14ac:dyDescent="0.35">
      <c r="B22" s="27"/>
      <c r="C22" s="27"/>
      <c r="D22" s="27"/>
      <c r="E22" s="27"/>
      <c r="F22" s="27"/>
      <c r="G22" s="27"/>
      <c r="H22" s="27"/>
    </row>
    <row r="23" spans="2:16" x14ac:dyDescent="0.35">
      <c r="B23" s="27"/>
      <c r="C23" s="27"/>
      <c r="D23" s="27"/>
      <c r="E23" s="27"/>
      <c r="F23" s="27"/>
      <c r="G23" s="27"/>
      <c r="H23" s="27"/>
    </row>
    <row r="24" spans="2:16" x14ac:dyDescent="0.35">
      <c r="B24" s="27"/>
      <c r="C24" s="27"/>
      <c r="D24" s="27"/>
      <c r="E24" s="27"/>
      <c r="F24" s="27"/>
      <c r="G24" s="27"/>
      <c r="H24" s="27"/>
    </row>
    <row r="25" spans="2:16" x14ac:dyDescent="0.35">
      <c r="B25" s="27"/>
      <c r="C25" s="27"/>
      <c r="D25" s="27"/>
      <c r="E25" s="27"/>
      <c r="F25" s="27"/>
      <c r="G25" s="27"/>
      <c r="H25" s="27"/>
    </row>
    <row r="26" spans="2:16" x14ac:dyDescent="0.35">
      <c r="B26" s="27"/>
      <c r="C26" s="27"/>
      <c r="D26" s="27"/>
      <c r="E26" s="27"/>
      <c r="F26" s="27"/>
      <c r="G26" s="27"/>
      <c r="H26" s="27"/>
    </row>
    <row r="27" spans="2:16" x14ac:dyDescent="0.35">
      <c r="B27" s="27"/>
      <c r="C27" s="27"/>
      <c r="D27" s="27"/>
      <c r="E27" s="27"/>
      <c r="F27" s="27"/>
      <c r="G27" s="27"/>
      <c r="H27" s="27"/>
    </row>
    <row r="28" spans="2:16" x14ac:dyDescent="0.35">
      <c r="B28" s="27"/>
      <c r="C28" s="27"/>
      <c r="D28" s="27"/>
      <c r="E28" s="27"/>
      <c r="F28" s="27"/>
      <c r="G28" s="27"/>
      <c r="H28" s="27"/>
    </row>
    <row r="29" spans="2:16" x14ac:dyDescent="0.35">
      <c r="B29" s="27"/>
      <c r="C29" s="27"/>
      <c r="D29" s="27"/>
      <c r="E29" s="27"/>
      <c r="F29" s="27"/>
      <c r="G29" s="27"/>
      <c r="H29" s="27"/>
    </row>
    <row r="30" spans="2:16" x14ac:dyDescent="0.35">
      <c r="B30" s="27"/>
      <c r="C30" s="27"/>
      <c r="D30" s="27"/>
      <c r="E30" s="27"/>
      <c r="F30" s="27"/>
      <c r="G30" s="27"/>
      <c r="H30" s="27"/>
    </row>
    <row r="31" spans="2:16" x14ac:dyDescent="0.35">
      <c r="B31" s="27"/>
      <c r="C31" s="27"/>
      <c r="D31" s="27"/>
      <c r="E31" s="27"/>
      <c r="F31" s="27"/>
      <c r="G31" s="27"/>
      <c r="H31" s="27"/>
    </row>
    <row r="32" spans="2:16" x14ac:dyDescent="0.35">
      <c r="B32" s="27"/>
      <c r="C32" s="27"/>
      <c r="D32" s="27"/>
      <c r="E32" s="27"/>
      <c r="F32" s="27"/>
      <c r="G32" s="27"/>
      <c r="H32" s="27"/>
    </row>
    <row r="33" spans="2:8" x14ac:dyDescent="0.35">
      <c r="B33" s="27"/>
      <c r="C33" s="27"/>
      <c r="D33" s="27"/>
      <c r="E33" s="27"/>
      <c r="F33" s="27"/>
      <c r="G33" s="27"/>
      <c r="H33" s="27"/>
    </row>
    <row r="34" spans="2:8" x14ac:dyDescent="0.35">
      <c r="B34" s="27"/>
      <c r="C34" s="27"/>
      <c r="D34" s="27"/>
      <c r="E34" s="27"/>
      <c r="F34" s="27"/>
      <c r="G34" s="27"/>
      <c r="H34" s="27"/>
    </row>
    <row r="35" spans="2:8" x14ac:dyDescent="0.35">
      <c r="B35" s="27"/>
      <c r="C35" s="27"/>
      <c r="D35" s="27"/>
      <c r="E35" s="27"/>
      <c r="F35" s="27"/>
      <c r="G35" s="27"/>
      <c r="H35" s="27"/>
    </row>
    <row r="36" spans="2:8" x14ac:dyDescent="0.35">
      <c r="B36" s="27"/>
      <c r="C36" s="27"/>
      <c r="D36" s="27"/>
      <c r="E36" s="27"/>
      <c r="F36" s="27"/>
      <c r="G36" s="27"/>
      <c r="H36" s="27"/>
    </row>
    <row r="37" spans="2:8" x14ac:dyDescent="0.35">
      <c r="B37" s="27"/>
      <c r="C37" s="27"/>
      <c r="D37" s="27"/>
      <c r="E37" s="27"/>
      <c r="F37" s="27"/>
      <c r="G37" s="27"/>
      <c r="H37" s="27"/>
    </row>
    <row r="38" spans="2:8" x14ac:dyDescent="0.35">
      <c r="B38" s="27"/>
      <c r="C38" s="27"/>
      <c r="D38" s="27"/>
      <c r="E38" s="27"/>
      <c r="F38" s="27"/>
      <c r="G38" s="27"/>
      <c r="H38" s="27"/>
    </row>
    <row r="39" spans="2:8" x14ac:dyDescent="0.35">
      <c r="B39" s="27"/>
      <c r="C39" s="27"/>
      <c r="D39" s="27"/>
      <c r="E39" s="27"/>
      <c r="F39" s="27"/>
      <c r="G39" s="27"/>
      <c r="H39" s="27"/>
    </row>
    <row r="40" spans="2:8" x14ac:dyDescent="0.35">
      <c r="B40" s="27"/>
      <c r="C40" s="27"/>
      <c r="D40" s="27"/>
      <c r="E40" s="27"/>
      <c r="F40" s="27"/>
      <c r="G40" s="27"/>
      <c r="H40" s="27"/>
    </row>
    <row r="41" spans="2:8" x14ac:dyDescent="0.35">
      <c r="B41" s="27"/>
      <c r="C41" s="27"/>
      <c r="D41" s="27"/>
      <c r="E41" s="27"/>
      <c r="F41" s="27"/>
      <c r="G41" s="27"/>
      <c r="H41" s="27"/>
    </row>
    <row r="42" spans="2:8" x14ac:dyDescent="0.35">
      <c r="B42" s="27"/>
      <c r="C42" s="27"/>
      <c r="D42" s="27"/>
      <c r="E42" s="27"/>
      <c r="F42" s="27"/>
      <c r="G42" s="27"/>
      <c r="H42" s="27"/>
    </row>
    <row r="43" spans="2:8" x14ac:dyDescent="0.35">
      <c r="B43" s="27"/>
      <c r="C43" s="27"/>
      <c r="D43" s="27"/>
      <c r="E43" s="27"/>
      <c r="F43" s="27"/>
      <c r="G43" s="27"/>
      <c r="H43" s="27"/>
    </row>
    <row r="44" spans="2:8" x14ac:dyDescent="0.35">
      <c r="B44" s="27"/>
      <c r="C44" s="27"/>
      <c r="D44" s="27"/>
      <c r="E44" s="27"/>
      <c r="F44" s="27"/>
      <c r="G44" s="27"/>
      <c r="H44" s="27"/>
    </row>
    <row r="45" spans="2:8" x14ac:dyDescent="0.35">
      <c r="B45" s="27"/>
      <c r="C45" s="27"/>
      <c r="D45" s="27"/>
      <c r="E45" s="27"/>
      <c r="F45" s="27"/>
      <c r="G45" s="27"/>
      <c r="H45" s="27"/>
    </row>
    <row r="46" spans="2:8" x14ac:dyDescent="0.35">
      <c r="B46" s="27"/>
      <c r="C46" s="27"/>
      <c r="D46" s="27"/>
      <c r="E46" s="27"/>
      <c r="F46" s="27"/>
      <c r="G46" s="27"/>
      <c r="H46" s="27"/>
    </row>
    <row r="47" spans="2:8" x14ac:dyDescent="0.35">
      <c r="B47" s="27"/>
      <c r="C47" s="27"/>
      <c r="D47" s="27"/>
      <c r="E47" s="27"/>
      <c r="F47" s="27"/>
      <c r="G47" s="27"/>
      <c r="H47" s="27"/>
    </row>
    <row r="48" spans="2:8" ht="15" thickBot="1" x14ac:dyDescent="0.4">
      <c r="B48" s="27"/>
      <c r="C48" s="27"/>
      <c r="D48" s="27"/>
      <c r="E48" s="27"/>
      <c r="F48" s="27"/>
      <c r="G48" s="27"/>
      <c r="H48" s="27"/>
    </row>
    <row r="49" spans="1:9" ht="19" thickBot="1" x14ac:dyDescent="0.5">
      <c r="A49" s="1" t="s">
        <v>18</v>
      </c>
      <c r="B49" s="2"/>
      <c r="C49" s="2"/>
      <c r="D49" s="2"/>
      <c r="E49" s="2"/>
      <c r="F49" s="2"/>
      <c r="G49" s="2"/>
      <c r="H49" s="2"/>
      <c r="I49" s="3"/>
    </row>
    <row r="50" spans="1:9" ht="15" thickBot="1" x14ac:dyDescent="0.4">
      <c r="A50" s="4" t="s">
        <v>19</v>
      </c>
      <c r="B50" s="10" t="s">
        <v>5</v>
      </c>
      <c r="C50" s="11" t="s">
        <v>6</v>
      </c>
      <c r="D50" s="10" t="s">
        <v>7</v>
      </c>
      <c r="E50" s="11" t="s">
        <v>8</v>
      </c>
      <c r="F50" s="12" t="s">
        <v>5</v>
      </c>
      <c r="G50" s="13" t="s">
        <v>6</v>
      </c>
      <c r="H50" s="12" t="s">
        <v>7</v>
      </c>
      <c r="I50" s="13" t="s">
        <v>8</v>
      </c>
    </row>
    <row r="51" spans="1:9" x14ac:dyDescent="0.35">
      <c r="A51" s="28" t="s">
        <v>20</v>
      </c>
      <c r="B51" s="16" t="e">
        <v>#REF!</v>
      </c>
      <c r="C51" s="29" t="e">
        <v>#N/A</v>
      </c>
      <c r="D51" s="29" t="e">
        <f>B51-C51</f>
        <v>#REF!</v>
      </c>
      <c r="E51" s="17" t="str">
        <f>IFERROR(D51*100/C51,"")</f>
        <v/>
      </c>
      <c r="F51" s="16" t="e">
        <v>#N/A</v>
      </c>
      <c r="G51" s="30" t="e">
        <v>#N/A</v>
      </c>
      <c r="H51" s="16" t="e">
        <f>F51-G51</f>
        <v>#N/A</v>
      </c>
      <c r="I51" s="17" t="str">
        <f>IFERROR(H51*100/G51,"")</f>
        <v/>
      </c>
    </row>
    <row r="52" spans="1:9" x14ac:dyDescent="0.35">
      <c r="A52" s="18" t="s">
        <v>21</v>
      </c>
      <c r="B52" s="19" t="e">
        <v>#REF!</v>
      </c>
      <c r="C52" s="31" t="e">
        <v>#N/A</v>
      </c>
      <c r="D52" s="31" t="e">
        <f t="shared" ref="D52:D55" si="4">B52-C52</f>
        <v>#REF!</v>
      </c>
      <c r="E52" s="20" t="str">
        <f t="shared" ref="E52:E55" si="5">IFERROR(D52*100/C52,"")</f>
        <v/>
      </c>
      <c r="F52" s="19" t="e">
        <v>#N/A</v>
      </c>
      <c r="G52" s="32" t="e">
        <v>#N/A</v>
      </c>
      <c r="H52" s="19" t="e">
        <f t="shared" ref="H52:H54" si="6">F52-G52</f>
        <v>#N/A</v>
      </c>
      <c r="I52" s="20" t="str">
        <f t="shared" ref="I52:I55" si="7">IFERROR(H52*100/G52,"")</f>
        <v/>
      </c>
    </row>
    <row r="53" spans="1:9" x14ac:dyDescent="0.35">
      <c r="A53" s="18" t="s">
        <v>22</v>
      </c>
      <c r="B53" s="19" t="e">
        <v>#REF!</v>
      </c>
      <c r="C53" s="31" t="e">
        <v>#N/A</v>
      </c>
      <c r="D53" s="31" t="e">
        <f t="shared" si="4"/>
        <v>#REF!</v>
      </c>
      <c r="E53" s="20" t="str">
        <f t="shared" si="5"/>
        <v/>
      </c>
      <c r="F53" s="19" t="e">
        <v>#N/A</v>
      </c>
      <c r="G53" s="32" t="e">
        <v>#N/A</v>
      </c>
      <c r="H53" s="19" t="e">
        <f t="shared" si="6"/>
        <v>#N/A</v>
      </c>
      <c r="I53" s="20" t="str">
        <f t="shared" si="7"/>
        <v/>
      </c>
    </row>
    <row r="54" spans="1:9" ht="15" thickBot="1" x14ac:dyDescent="0.4">
      <c r="A54" s="21" t="s">
        <v>23</v>
      </c>
      <c r="B54" s="22" t="e">
        <v>#REF!</v>
      </c>
      <c r="C54" s="33" t="e">
        <v>#N/A</v>
      </c>
      <c r="D54" s="33" t="e">
        <f t="shared" si="4"/>
        <v>#REF!</v>
      </c>
      <c r="E54" s="23" t="str">
        <f t="shared" si="5"/>
        <v/>
      </c>
      <c r="F54" s="22" t="e">
        <v>#N/A</v>
      </c>
      <c r="G54" s="34" t="e">
        <v>#N/A</v>
      </c>
      <c r="H54" s="22" t="e">
        <f t="shared" si="6"/>
        <v>#N/A</v>
      </c>
      <c r="I54" s="23" t="str">
        <f t="shared" si="7"/>
        <v/>
      </c>
    </row>
    <row r="55" spans="1:9" ht="15" thickBot="1" x14ac:dyDescent="0.4">
      <c r="A55" s="35" t="s">
        <v>17</v>
      </c>
      <c r="B55" s="36" t="e">
        <f>SUM(B51:B54)</f>
        <v>#REF!</v>
      </c>
      <c r="C55" s="37" t="e">
        <f>SUM(C51:C54)</f>
        <v>#N/A</v>
      </c>
      <c r="D55" s="36" t="e">
        <f t="shared" si="4"/>
        <v>#REF!</v>
      </c>
      <c r="E55" s="38" t="str">
        <f t="shared" si="5"/>
        <v/>
      </c>
      <c r="F55" s="36" t="e">
        <f>SUM(F51:F54)</f>
        <v>#N/A</v>
      </c>
      <c r="G55" s="37" t="e">
        <f>SUM(G51:G54)</f>
        <v>#N/A</v>
      </c>
      <c r="H55" s="36" t="e">
        <f>SUM(H51:H54)</f>
        <v>#N/A</v>
      </c>
      <c r="I55" s="38" t="str">
        <f t="shared" si="7"/>
        <v/>
      </c>
    </row>
    <row r="56" spans="1:9" x14ac:dyDescent="0.35">
      <c r="B56" s="27"/>
      <c r="C56" s="27"/>
      <c r="D56" s="27"/>
      <c r="E56" s="27"/>
      <c r="F56" s="27"/>
      <c r="G56" s="27"/>
      <c r="H56" s="27"/>
    </row>
    <row r="57" spans="1:9" x14ac:dyDescent="0.35">
      <c r="B57" s="27"/>
      <c r="C57" s="27"/>
      <c r="D57" s="27"/>
      <c r="E57" s="27"/>
      <c r="F57" s="27"/>
      <c r="G57" s="27"/>
      <c r="H57" s="27"/>
    </row>
    <row r="58" spans="1:9" x14ac:dyDescent="0.35">
      <c r="B58" s="27"/>
      <c r="C58" s="27"/>
      <c r="D58" s="27"/>
      <c r="E58" s="27"/>
      <c r="F58" s="27"/>
      <c r="G58" s="27"/>
      <c r="H58" s="27"/>
    </row>
    <row r="59" spans="1:9" x14ac:dyDescent="0.35">
      <c r="B59" s="27"/>
      <c r="C59" s="27"/>
      <c r="D59" s="27"/>
      <c r="E59" s="27"/>
      <c r="F59" s="27"/>
      <c r="G59" s="27"/>
      <c r="H59" s="27"/>
    </row>
  </sheetData>
  <mergeCells count="4">
    <mergeCell ref="A1:I1"/>
    <mergeCell ref="B2:E2"/>
    <mergeCell ref="F2:I2"/>
    <mergeCell ref="A49:I4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AA033B4CA331248AACA6A85E69DDEC7" ma:contentTypeVersion="11" ma:contentTypeDescription="Opprett et nytt dokument." ma:contentTypeScope="" ma:versionID="5bc1888d8750044e0d42e78615b08f06">
  <xsd:schema xmlns:xsd="http://www.w3.org/2001/XMLSchema" xmlns:xs="http://www.w3.org/2001/XMLSchema" xmlns:p="http://schemas.microsoft.com/office/2006/metadata/properties" xmlns:ns2="2b35f148-848c-440b-a9e6-68a76fb8fde2" xmlns:ns3="c97463cd-b38c-48ab-8194-8a73a3d084b0" targetNamespace="http://schemas.microsoft.com/office/2006/metadata/properties" ma:root="true" ma:fieldsID="fb1aab714fcb3bd26e15a0d908216aa5" ns2:_="" ns3:_="">
    <xsd:import namespace="2b35f148-848c-440b-a9e6-68a76fb8fde2"/>
    <xsd:import namespace="c97463cd-b38c-48ab-8194-8a73a3d084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5f148-848c-440b-a9e6-68a76fb8fd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ingsdetaljer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Global taksonomikolonne" ma:hidden="true" ma:list="{084b3091-a7ad-4afc-8bcb-416c0c690e44}" ma:internalName="TaxCatchAll" ma:showField="CatchAllData" ma:web="2b35f148-848c-440b-a9e6-68a76fb8f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463cd-b38c-48ab-8194-8a73a3d084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f2ad81ba-0c38-4e20-bf62-d4704bdc14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7463cd-b38c-48ab-8194-8a73a3d084b0">
      <Terms xmlns="http://schemas.microsoft.com/office/infopath/2007/PartnerControls"/>
    </lcf76f155ced4ddcb4097134ff3c332f>
    <TaxCatchAll xmlns="2b35f148-848c-440b-a9e6-68a76fb8fde2" xsi:nil="true"/>
  </documentManagement>
</p:properties>
</file>

<file path=customXml/itemProps1.xml><?xml version="1.0" encoding="utf-8"?>
<ds:datastoreItem xmlns:ds="http://schemas.openxmlformats.org/officeDocument/2006/customXml" ds:itemID="{6CE50E5E-D215-4FBD-B564-204A3A772C92}"/>
</file>

<file path=customXml/itemProps2.xml><?xml version="1.0" encoding="utf-8"?>
<ds:datastoreItem xmlns:ds="http://schemas.openxmlformats.org/officeDocument/2006/customXml" ds:itemID="{3FC5AA34-BA87-48D7-9775-2C127821EBA4}"/>
</file>

<file path=customXml/itemProps3.xml><?xml version="1.0" encoding="utf-8"?>
<ds:datastoreItem xmlns:ds="http://schemas.openxmlformats.org/officeDocument/2006/customXml" ds:itemID="{F07C227E-46D2-46CF-8912-2757F0B02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Frode Kronstad</dc:creator>
  <cp:lastModifiedBy>Frode Kronstad</cp:lastModifiedBy>
  <dcterms:created xsi:type="dcterms:W3CDTF">2022-12-13T12:32:50Z</dcterms:created>
  <dcterms:modified xsi:type="dcterms:W3CDTF">2022-12-13T12:33:51Z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0x0101006AA033B4CA331248AACA6A85E69DDEC7</vt:lpwstr>
  </property>
</Properties>
</file>