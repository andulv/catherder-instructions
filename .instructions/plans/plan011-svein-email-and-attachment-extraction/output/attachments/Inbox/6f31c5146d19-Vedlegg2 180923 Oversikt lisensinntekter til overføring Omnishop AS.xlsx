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100\Brukere\svein.byrknes\Documents\6.AAA- DEFINIT\9. Avtaler SS OG AU med Definit AS\180923 Grunnlag fra meg\Avtale overføring av rettigheter med vedlegg\"/>
    </mc:Choice>
  </mc:AlternateContent>
  <xr:revisionPtr revIDLastSave="0" documentId="13_ncr:1_{1D39D865-A8F7-4CA2-AD08-A23BBCD7D15D}" xr6:coauthVersionLast="47" xr6:coauthVersionMax="47" xr10:uidLastSave="{00000000-0000-0000-0000-000000000000}"/>
  <bookViews>
    <workbookView xWindow="-120" yWindow="-120" windowWidth="57840" windowHeight="17640" xr2:uid="{CBFF9BFD-00C5-4514-A811-6D42C5CB10D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3" i="1"/>
  <c r="F19" i="1"/>
  <c r="F20" i="1"/>
  <c r="F21" i="1"/>
  <c r="F22" i="1"/>
  <c r="F18" i="1"/>
  <c r="F16" i="1"/>
  <c r="F14" i="1"/>
  <c r="F15" i="1"/>
  <c r="F13" i="1"/>
  <c r="F11" i="1"/>
  <c r="F6" i="1"/>
  <c r="F7" i="1"/>
  <c r="F8" i="1"/>
  <c r="F9" i="1"/>
  <c r="F10" i="1"/>
  <c r="F5" i="1"/>
  <c r="E19" i="1"/>
  <c r="E20" i="1"/>
  <c r="E21" i="1"/>
  <c r="E22" i="1"/>
  <c r="E18" i="1"/>
  <c r="E23" i="1" s="1"/>
  <c r="C23" i="1"/>
  <c r="E14" i="1"/>
  <c r="E15" i="1"/>
  <c r="E13" i="1"/>
  <c r="E16" i="1" s="1"/>
  <c r="E6" i="1"/>
  <c r="E7" i="1"/>
  <c r="E8" i="1"/>
  <c r="E9" i="1"/>
  <c r="E10" i="1"/>
  <c r="E5" i="1"/>
  <c r="E11" i="1"/>
  <c r="E25" i="1" s="1"/>
  <c r="C16" i="1"/>
  <c r="C11" i="1"/>
</calcChain>
</file>

<file path=xl/sharedStrings.xml><?xml version="1.0" encoding="utf-8"?>
<sst xmlns="http://schemas.openxmlformats.org/spreadsheetml/2006/main" count="43" uniqueCount="31">
  <si>
    <t>Antall</t>
  </si>
  <si>
    <t>Beløp pr. mnd</t>
  </si>
  <si>
    <t>Siste faktura</t>
  </si>
  <si>
    <t>fra Definit</t>
  </si>
  <si>
    <t>Første faktura</t>
  </si>
  <si>
    <t>fra Omnishop</t>
  </si>
  <si>
    <t>Sunkost</t>
  </si>
  <si>
    <t>101501 Omnishop Pos Anova lisens mnd </t>
  </si>
  <si>
    <t>101601 Omnishop Pos Anova ekstralisens mnd </t>
  </si>
  <si>
    <t>151501 Omnishop Pocket lisens mnd </t>
  </si>
  <si>
    <t>201601 Omnishop Central lisens pr aktiv klient mnd </t>
  </si>
  <si>
    <t>301501 Oculos kundekortmodul lisens mnd </t>
  </si>
  <si>
    <t>251501 e-Server lisens mnd </t>
  </si>
  <si>
    <t>SUM, SUNKOST LISENSER</t>
  </si>
  <si>
    <t>Diplom-IS</t>
  </si>
  <si>
    <t>101503 Omnishop Pos Anova lisens</t>
  </si>
  <si>
    <t>201503 Omnishop Central grunnlisens</t>
  </si>
  <si>
    <t>201603 Omnishop Central lisens pr aktiv klient</t>
  </si>
  <si>
    <t>SUM, DI LISENSER</t>
  </si>
  <si>
    <t>Konfektgalleriet</t>
  </si>
  <si>
    <t>Strømpedamen 2</t>
  </si>
  <si>
    <t>Strømpedamen 1</t>
  </si>
  <si>
    <t>H-butikk 1</t>
  </si>
  <si>
    <t>H-butikk 2</t>
  </si>
  <si>
    <t>Vare</t>
  </si>
  <si>
    <t xml:space="preserve">Kunde </t>
  </si>
  <si>
    <t xml:space="preserve">SUM ANDRE LISENSER </t>
  </si>
  <si>
    <t xml:space="preserve">TOTALT - TOTALT </t>
  </si>
  <si>
    <t>Pr. mnd. lisens</t>
  </si>
  <si>
    <t xml:space="preserve">Totalt år </t>
  </si>
  <si>
    <t xml:space="preserve">VEDLEGG 2 - LISENSINNTEKTER PR. 01 10 2023 VED OVERFØRING TIL OMNISHOP 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</si>
</sst>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kr&quot;\ #,##0.00;[Red]\-&quot;kr&quot;\ #,##0.00"/>
    <numFmt numFmtId="44" formatCode="_-&quot;kr&quot;\ * #,##0.00_-;\-&quot;kr&quot;\ * #,##0.00_-;_-&quot;kr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4" fontId="2" fillId="0" borderId="1" xfId="0" applyNumberFormat="1" applyFont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8" fontId="1" fillId="3" borderId="1" xfId="0" applyNumberFormat="1" applyFont="1" applyFill="1" applyBorder="1"/>
    <xf numFmtId="0" fontId="1" fillId="0" borderId="1" xfId="0" applyFont="1" applyBorder="1"/>
    <xf numFmtId="44" fontId="1" fillId="3" borderId="1" xfId="0" applyNumberFormat="1" applyFont="1" applyFill="1" applyBorder="1"/>
    <xf numFmtId="8" fontId="3" fillId="3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2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vertical="center"/>
    </xf>
    <xf numFmtId="0" fontId="0" fillId="0" borderId="9" xfId="0" applyBorder="1"/>
    <xf numFmtId="0" fontId="3" fillId="3" borderId="10" xfId="0" applyFont="1" applyFill="1" applyBorder="1" applyAlignment="1">
      <alignment vertical="center" wrapText="1"/>
    </xf>
    <xf numFmtId="8" fontId="0" fillId="0" borderId="10" xfId="0" applyNumberFormat="1" applyBorder="1"/>
    <xf numFmtId="0" fontId="0" fillId="0" borderId="10" xfId="0" applyBorder="1"/>
    <xf numFmtId="8" fontId="1" fillId="3" borderId="10" xfId="0" applyNumberFormat="1" applyFont="1" applyFill="1" applyBorder="1"/>
    <xf numFmtId="0" fontId="0" fillId="0" borderId="11" xfId="0" applyBorder="1"/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298C-9CEB-4C5C-AC72-2E214C3C6E39}">
  <dimension ref="A1:H29"/>
  <sheetViews>
    <sheetView tabSelected="1" workbookViewId="0">
      <selection sqref="A1:H25"/>
    </sheetView>
  </sheetViews>
  <sheetFormatPr baseColWidth="10" defaultRowHeight="15" x14ac:dyDescent="0.25"/>
  <cols>
    <col min="1" max="1" width="26.140625" customWidth="1"/>
    <col min="2" max="2" width="55" customWidth="1"/>
    <col min="3" max="3" width="15.140625" customWidth="1"/>
    <col min="4" max="4" width="7.28515625" customWidth="1"/>
    <col min="5" max="5" width="13.42578125" bestFit="1" customWidth="1"/>
    <col min="6" max="6" width="13.42578125" customWidth="1"/>
    <col min="7" max="7" width="12" bestFit="1" customWidth="1"/>
    <col min="8" max="8" width="13.28515625" bestFit="1" customWidth="1"/>
  </cols>
  <sheetData>
    <row r="1" spans="1:8" ht="23.25" x14ac:dyDescent="0.35">
      <c r="A1" s="31" t="s">
        <v>30</v>
      </c>
      <c r="B1" s="32"/>
      <c r="C1" s="32"/>
      <c r="D1" s="32"/>
      <c r="E1" s="32"/>
      <c r="F1" s="32"/>
      <c r="G1" s="32"/>
      <c r="H1" s="33"/>
    </row>
    <row r="2" spans="1:8" x14ac:dyDescent="0.25">
      <c r="A2" s="15"/>
      <c r="H2" s="16"/>
    </row>
    <row r="3" spans="1:8" x14ac:dyDescent="0.25">
      <c r="A3" s="34" t="s">
        <v>25</v>
      </c>
      <c r="B3" s="35" t="s">
        <v>24</v>
      </c>
      <c r="C3" s="36" t="s">
        <v>28</v>
      </c>
      <c r="D3" s="36" t="s">
        <v>0</v>
      </c>
      <c r="E3" s="36" t="s">
        <v>1</v>
      </c>
      <c r="F3" s="9" t="s">
        <v>29</v>
      </c>
      <c r="G3" s="9" t="s">
        <v>2</v>
      </c>
      <c r="H3" s="17" t="s">
        <v>4</v>
      </c>
    </row>
    <row r="4" spans="1:8" x14ac:dyDescent="0.25">
      <c r="A4" s="34"/>
      <c r="B4" s="35"/>
      <c r="C4" s="36"/>
      <c r="D4" s="36"/>
      <c r="E4" s="36"/>
      <c r="F4" s="9"/>
      <c r="G4" s="9" t="s">
        <v>3</v>
      </c>
      <c r="H4" s="17" t="s">
        <v>5</v>
      </c>
    </row>
    <row r="5" spans="1:8" x14ac:dyDescent="0.25">
      <c r="A5" s="18" t="s">
        <v>6</v>
      </c>
      <c r="B5" s="2" t="s">
        <v>7</v>
      </c>
      <c r="C5" s="3">
        <v>297.60000000000002</v>
      </c>
      <c r="D5" s="6">
        <v>109</v>
      </c>
      <c r="E5" s="3">
        <f>C5*D5</f>
        <v>32438.400000000001</v>
      </c>
      <c r="F5" s="3">
        <f>E5*12</f>
        <v>389260.80000000005</v>
      </c>
      <c r="G5" s="4">
        <v>45170</v>
      </c>
      <c r="H5" s="19">
        <v>45200</v>
      </c>
    </row>
    <row r="6" spans="1:8" x14ac:dyDescent="0.25">
      <c r="A6" s="18" t="s">
        <v>6</v>
      </c>
      <c r="B6" s="2" t="s">
        <v>8</v>
      </c>
      <c r="C6" s="3">
        <v>211.4</v>
      </c>
      <c r="D6" s="6">
        <v>15</v>
      </c>
      <c r="E6" s="3">
        <f t="shared" ref="E6:E10" si="0">C6*D6</f>
        <v>3171</v>
      </c>
      <c r="F6" s="3">
        <f t="shared" ref="F6:F10" si="1">E6*12</f>
        <v>38052</v>
      </c>
      <c r="G6" s="4">
        <v>45170</v>
      </c>
      <c r="H6" s="19">
        <v>45200</v>
      </c>
    </row>
    <row r="7" spans="1:8" x14ac:dyDescent="0.25">
      <c r="A7" s="18" t="s">
        <v>6</v>
      </c>
      <c r="B7" s="2" t="s">
        <v>9</v>
      </c>
      <c r="C7" s="3">
        <v>111.9</v>
      </c>
      <c r="D7" s="6">
        <v>71</v>
      </c>
      <c r="E7" s="3">
        <f t="shared" si="0"/>
        <v>7944.9000000000005</v>
      </c>
      <c r="F7" s="3">
        <f t="shared" si="1"/>
        <v>95338.8</v>
      </c>
      <c r="G7" s="4">
        <v>45170</v>
      </c>
      <c r="H7" s="19">
        <v>45200</v>
      </c>
    </row>
    <row r="8" spans="1:8" x14ac:dyDescent="0.25">
      <c r="A8" s="18" t="s">
        <v>6</v>
      </c>
      <c r="B8" s="2" t="s">
        <v>10</v>
      </c>
      <c r="C8" s="3">
        <v>167.2</v>
      </c>
      <c r="D8" s="6">
        <v>110</v>
      </c>
      <c r="E8" s="3">
        <f t="shared" si="0"/>
        <v>18392</v>
      </c>
      <c r="F8" s="3">
        <f t="shared" si="1"/>
        <v>220704</v>
      </c>
      <c r="G8" s="4">
        <v>45170</v>
      </c>
      <c r="H8" s="19">
        <v>45200</v>
      </c>
    </row>
    <row r="9" spans="1:8" x14ac:dyDescent="0.25">
      <c r="A9" s="18" t="s">
        <v>6</v>
      </c>
      <c r="B9" s="2" t="s">
        <v>11</v>
      </c>
      <c r="C9" s="3">
        <v>76.650000000000006</v>
      </c>
      <c r="D9" s="6">
        <v>109</v>
      </c>
      <c r="E9" s="3">
        <f t="shared" si="0"/>
        <v>8354.85</v>
      </c>
      <c r="F9" s="3">
        <f t="shared" si="1"/>
        <v>100258.20000000001</v>
      </c>
      <c r="G9" s="4">
        <v>45170</v>
      </c>
      <c r="H9" s="19">
        <v>45200</v>
      </c>
    </row>
    <row r="10" spans="1:8" x14ac:dyDescent="0.25">
      <c r="A10" s="18" t="s">
        <v>6</v>
      </c>
      <c r="B10" s="2" t="s">
        <v>12</v>
      </c>
      <c r="C10" s="3">
        <v>13345</v>
      </c>
      <c r="D10" s="6">
        <v>1</v>
      </c>
      <c r="E10" s="3">
        <f t="shared" si="0"/>
        <v>13345</v>
      </c>
      <c r="F10" s="3">
        <f t="shared" si="1"/>
        <v>160140</v>
      </c>
      <c r="G10" s="4">
        <v>45170</v>
      </c>
      <c r="H10" s="19">
        <v>45200</v>
      </c>
    </row>
    <row r="11" spans="1:8" x14ac:dyDescent="0.25">
      <c r="A11" s="18"/>
      <c r="B11" s="5" t="s">
        <v>13</v>
      </c>
      <c r="C11" s="13">
        <f>SUM(C5:C10)</f>
        <v>14209.75</v>
      </c>
      <c r="D11" s="14"/>
      <c r="E11" s="13">
        <f>SUM(E5:E10)</f>
        <v>83646.150000000009</v>
      </c>
      <c r="F11" s="13">
        <f>SUM(F5:F10)</f>
        <v>1003753.8</v>
      </c>
      <c r="G11" s="6"/>
      <c r="H11" s="20"/>
    </row>
    <row r="12" spans="1:8" x14ac:dyDescent="0.25">
      <c r="A12" s="18"/>
      <c r="B12" s="2"/>
      <c r="C12" s="2"/>
      <c r="D12" s="6"/>
      <c r="E12" s="2"/>
      <c r="F12" s="2"/>
      <c r="G12" s="6"/>
      <c r="H12" s="20"/>
    </row>
    <row r="13" spans="1:8" x14ac:dyDescent="0.25">
      <c r="A13" s="18" t="s">
        <v>14</v>
      </c>
      <c r="B13" s="2" t="s">
        <v>15</v>
      </c>
      <c r="C13" s="3">
        <v>297.60000000000002</v>
      </c>
      <c r="D13" s="6">
        <v>67</v>
      </c>
      <c r="E13" s="3">
        <f>C13*D13</f>
        <v>19939.2</v>
      </c>
      <c r="F13" s="3">
        <f>E13*12</f>
        <v>239270.40000000002</v>
      </c>
      <c r="G13" s="4">
        <v>45108</v>
      </c>
      <c r="H13" s="19">
        <v>45200</v>
      </c>
    </row>
    <row r="14" spans="1:8" x14ac:dyDescent="0.25">
      <c r="A14" s="18" t="s">
        <v>14</v>
      </c>
      <c r="B14" s="2" t="s">
        <v>16</v>
      </c>
      <c r="C14" s="3">
        <v>894.41</v>
      </c>
      <c r="D14" s="6">
        <v>1</v>
      </c>
      <c r="E14" s="3">
        <f t="shared" ref="E14:E15" si="2">C14*D14</f>
        <v>894.41</v>
      </c>
      <c r="F14" s="3">
        <f t="shared" ref="F14:F15" si="3">E14*12</f>
        <v>10732.92</v>
      </c>
      <c r="G14" s="4">
        <v>45108</v>
      </c>
      <c r="H14" s="19">
        <v>45200</v>
      </c>
    </row>
    <row r="15" spans="1:8" x14ac:dyDescent="0.25">
      <c r="A15" s="18" t="s">
        <v>14</v>
      </c>
      <c r="B15" s="2" t="s">
        <v>17</v>
      </c>
      <c r="C15" s="3">
        <v>167.2</v>
      </c>
      <c r="D15" s="6">
        <v>67</v>
      </c>
      <c r="E15" s="3">
        <f t="shared" si="2"/>
        <v>11202.4</v>
      </c>
      <c r="F15" s="3">
        <f t="shared" si="3"/>
        <v>134428.79999999999</v>
      </c>
      <c r="G15" s="4">
        <v>45108</v>
      </c>
      <c r="H15" s="19">
        <v>45200</v>
      </c>
    </row>
    <row r="16" spans="1:8" x14ac:dyDescent="0.25">
      <c r="A16" s="18"/>
      <c r="B16" s="5" t="s">
        <v>18</v>
      </c>
      <c r="C16" s="13">
        <f>SUM(C13:C15)</f>
        <v>1359.21</v>
      </c>
      <c r="D16" s="14"/>
      <c r="E16" s="13">
        <f>SUM(E13:E15)</f>
        <v>32036.010000000002</v>
      </c>
      <c r="F16" s="13">
        <f>SUM(F13:F15)</f>
        <v>384432.12</v>
      </c>
      <c r="G16" s="4">
        <v>45108</v>
      </c>
      <c r="H16" s="19">
        <v>45200</v>
      </c>
    </row>
    <row r="17" spans="1:8" x14ac:dyDescent="0.25">
      <c r="A17" s="18"/>
      <c r="B17" s="2"/>
      <c r="C17" s="2"/>
      <c r="D17" s="6"/>
      <c r="E17" s="2"/>
      <c r="F17" s="2"/>
      <c r="G17" s="2"/>
      <c r="H17" s="21"/>
    </row>
    <row r="18" spans="1:8" x14ac:dyDescent="0.25">
      <c r="A18" s="18" t="s">
        <v>19</v>
      </c>
      <c r="B18" s="2" t="s">
        <v>7</v>
      </c>
      <c r="C18" s="3">
        <v>297.60000000000002</v>
      </c>
      <c r="D18" s="6">
        <v>1</v>
      </c>
      <c r="E18" s="7">
        <f>C18*D18</f>
        <v>297.60000000000002</v>
      </c>
      <c r="F18" s="7">
        <f>E18*12</f>
        <v>3571.2000000000003</v>
      </c>
      <c r="G18" s="2"/>
      <c r="H18" s="21"/>
    </row>
    <row r="19" spans="1:8" x14ac:dyDescent="0.25">
      <c r="A19" s="18" t="s">
        <v>20</v>
      </c>
      <c r="B19" s="2" t="s">
        <v>7</v>
      </c>
      <c r="C19" s="3">
        <v>297.60000000000002</v>
      </c>
      <c r="D19" s="6">
        <v>1</v>
      </c>
      <c r="E19" s="7">
        <f t="shared" ref="E19:E22" si="4">C19*D19</f>
        <v>297.60000000000002</v>
      </c>
      <c r="F19" s="7">
        <f t="shared" ref="F19:F22" si="5">E19*12</f>
        <v>3571.2000000000003</v>
      </c>
      <c r="G19" s="2"/>
      <c r="H19" s="21"/>
    </row>
    <row r="20" spans="1:8" x14ac:dyDescent="0.25">
      <c r="A20" s="18" t="s">
        <v>21</v>
      </c>
      <c r="B20" s="2" t="s">
        <v>7</v>
      </c>
      <c r="C20" s="2">
        <v>297.60000000000002</v>
      </c>
      <c r="D20" s="6">
        <v>1</v>
      </c>
      <c r="E20" s="7">
        <f t="shared" si="4"/>
        <v>297.60000000000002</v>
      </c>
      <c r="F20" s="7">
        <f t="shared" si="5"/>
        <v>3571.2000000000003</v>
      </c>
      <c r="G20" s="2"/>
      <c r="H20" s="21"/>
    </row>
    <row r="21" spans="1:8" x14ac:dyDescent="0.25">
      <c r="A21" s="18" t="s">
        <v>22</v>
      </c>
      <c r="B21" s="2" t="s">
        <v>7</v>
      </c>
      <c r="C21" s="3">
        <v>297.60000000000002</v>
      </c>
      <c r="D21" s="6">
        <v>1</v>
      </c>
      <c r="E21" s="7">
        <f t="shared" si="4"/>
        <v>297.60000000000002</v>
      </c>
      <c r="F21" s="7">
        <f t="shared" si="5"/>
        <v>3571.2000000000003</v>
      </c>
      <c r="G21" s="2"/>
      <c r="H21" s="21"/>
    </row>
    <row r="22" spans="1:8" x14ac:dyDescent="0.25">
      <c r="A22" s="18" t="s">
        <v>23</v>
      </c>
      <c r="B22" s="2" t="s">
        <v>7</v>
      </c>
      <c r="C22" s="3">
        <v>297.60000000000002</v>
      </c>
      <c r="D22" s="6">
        <v>1</v>
      </c>
      <c r="E22" s="7">
        <f t="shared" si="4"/>
        <v>297.60000000000002</v>
      </c>
      <c r="F22" s="7">
        <f t="shared" si="5"/>
        <v>3571.2000000000003</v>
      </c>
      <c r="G22" s="2"/>
      <c r="H22" s="21"/>
    </row>
    <row r="23" spans="1:8" x14ac:dyDescent="0.25">
      <c r="A23" s="22"/>
      <c r="B23" s="5" t="s">
        <v>26</v>
      </c>
      <c r="C23" s="10">
        <f>SUM(C18:C22)</f>
        <v>1488</v>
      </c>
      <c r="D23" s="11"/>
      <c r="E23" s="12">
        <f>SUM(E18:E22)</f>
        <v>1488</v>
      </c>
      <c r="F23" s="12">
        <f>SUM(F18:F22)</f>
        <v>17856</v>
      </c>
      <c r="G23" s="8"/>
      <c r="H23" s="23"/>
    </row>
    <row r="24" spans="1:8" x14ac:dyDescent="0.25">
      <c r="A24" s="24"/>
      <c r="B24" s="8"/>
      <c r="C24" s="8"/>
      <c r="D24" s="8"/>
      <c r="E24" s="8"/>
      <c r="F24" s="8"/>
      <c r="G24" s="8"/>
      <c r="H24" s="23"/>
    </row>
    <row r="25" spans="1:8" ht="15.75" thickBot="1" x14ac:dyDescent="0.3">
      <c r="A25" s="25"/>
      <c r="B25" s="26" t="s">
        <v>27</v>
      </c>
      <c r="C25" s="27"/>
      <c r="D25" s="28"/>
      <c r="E25" s="29">
        <f>E11+E16+E23</f>
        <v>117170.16</v>
      </c>
      <c r="F25" s="29">
        <f>F11+F16+F23</f>
        <v>1406041.92</v>
      </c>
      <c r="G25" s="28"/>
      <c r="H25" s="30"/>
    </row>
    <row r="27" spans="1:8" x14ac:dyDescent="0.25">
      <c r="A27" s="1"/>
    </row>
    <row r="29" spans="1:8" x14ac:dyDescent="0.25">
      <c r="A29" s="1"/>
    </row>
  </sheetData>
  <mergeCells count="6">
    <mergeCell ref="A1:H1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Svein Skorpen</dc:creator>
  <cp:lastModifiedBy>Svein Skorpen</cp:lastModifiedBy>
  <dcterms:created xsi:type="dcterms:W3CDTF">2023-09-18T03:49:48Z</dcterms:created>
  <dcterms:modified xsi:type="dcterms:W3CDTF">2023-09-18T06:24:25Z</dcterms:modified>
</cp:coreProperties>
</file>